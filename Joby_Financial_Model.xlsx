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Financial Model" sheetId="3" state="visible" r:id="rId5"/>
    <sheet name="Scenario Comparison" sheetId="4" state="visible" r:id="rId6"/>
  </sheets>
  <definedNames>
    <definedName function="false" hidden="false" name="inp_capacity" vbProcedure="false">Assumptions!$F$14</definedName>
    <definedName function="false" hidden="false" name="inp_completion" vbProcedure="false">Assumptions!$F$19</definedName>
    <definedName function="false" hidden="false" name="inp_cost_growth" vbProcedure="false">Assumptions!$F$29</definedName>
    <definedName function="false" hidden="false" name="inp_demand_growth" vbProcedure="false">Assumptions!$F$28</definedName>
    <definedName function="false" hidden="false" name="inp_fare" vbProcedure="false">Assumptions!$F$20</definedName>
    <definedName function="false" hidden="false" name="inp_fare_growth" vbProcedure="false">Assumptions!$F$27</definedName>
    <definedName function="false" hidden="false" name="inp_fixed_monthly" vbProcedure="false">Assumptions!$F$24</definedName>
    <definedName function="false" hidden="false" name="inp_flights_per_day" vbProcedure="false">Assumptions!$F$15</definedName>
    <definedName function="false" hidden="false" name="inp_load_factor" vbProcedure="false">Assumptions!$F$21</definedName>
    <definedName function="false" hidden="false" name="inp_op_days" vbProcedure="false">Assumptions!$F$16</definedName>
    <definedName function="false" hidden="false" name="inp_scenario" vbProcedure="false">Assumptions!$C$5</definedName>
    <definedName function="false" hidden="false" name="inp_var_cost_flight" vbProcedure="false">Assumptions!$F$22</definedName>
    <definedName function="false" hidden="false" name="inp_var_cost_pax" vbProcedure="false">Assumptions!$F$23</definedName>
    <definedName function="false" hidden="false" name="out_be_flight" vbProcedure="false">'Financial Model'!$O$44</definedName>
    <definedName function="false" hidden="false" name="out_be_route" vbProcedure="false">'Financial Model'!$O$45</definedName>
    <definedName function="false" hidden="false" name="out_completed" vbProcedure="false">'Financial Model'!$O$23</definedName>
    <definedName function="false" hidden="false" name="out_contrib" vbProcedure="false">'Financial Model'!$O$33</definedName>
    <definedName function="false" hidden="false" name="out_contrib_flt" vbProcedure="false">'Financial Model'!$O$35</definedName>
    <definedName function="false" hidden="false" name="out_fare" vbProcedure="false">'Financial Model'!$O$28</definedName>
    <definedName function="false" hidden="false" name="out_fixed" vbProcedure="false">'Financial Model'!$O$36</definedName>
    <definedName function="false" hidden="false" name="out_lf" vbProcedure="false">'Financial Model'!$O$17</definedName>
    <definedName function="false" hidden="false" name="out_model_status" vbProcedure="false">'Financial Model'!$C$70</definedName>
    <definedName function="false" hidden="false" name="out_pax" vbProcedure="false">'Financial Model'!$O$25</definedName>
    <definedName function="false" hidden="false" name="out_revenue" vbProcedure="false">'Financial Model'!$O$29</definedName>
    <definedName function="false" hidden="false" name="out_rop" vbProcedure="false">'Financial Model'!$O$37</definedName>
    <definedName function="false" hidden="false" name="out_tvc" vbProcedure="false">'Financial Model'!$O$32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<sst xmlns="http://schemas.openxmlformats.org/spreadsheetml/2006/main" count="545" uniqueCount="305">
  <si>
    <t xml:space="preserve">Joby Aviation - Air Taxi Route Financial Model (Prototype)</t>
  </si>
  <si>
    <t xml:space="preserve">Financial Systems Analyst case study  |  Single illustrative route  |  12-month monthly model with annual totals</t>
  </si>
  <si>
    <t xml:space="preserve">ILLUSTRATIVE PROTOTYPE - all inputs are hypothetical case-study assumptions, not Joby Aviation forecasts, guidance, or company-reported figures.</t>
  </si>
  <si>
    <t xml:space="preserve">Model status</t>
  </si>
  <si>
    <t xml:space="preserve">Active scenario</t>
  </si>
  <si>
    <t xml:space="preserve">FY route operating profit</t>
  </si>
  <si>
    <t xml:space="preserve">Purpose</t>
  </si>
  <si>
    <t xml:space="preserve">Objective</t>
  </si>
  <si>
    <t xml:space="preserve">Show how air taxi operating drivers (flights, completion, seats, load factor, fare, unit costs) flow through to route-level financial performance, support near-term decisions (pricing, scheduling, cost targets), and provide a structure that can scale into Joby's commercial reporting infrastructure.</t>
  </si>
  <si>
    <t xml:space="preserve">Important</t>
  </si>
  <si>
    <t xml:space="preserve">ILLUSTRATIVE PROTOTYPE. Every input is a hypothetical assumption for a case study. Nothing in this workbook is a Joby Aviation forecast, guidance or company-reported figure.</t>
  </si>
  <si>
    <t xml:space="preserve">Workbook Map</t>
  </si>
  <si>
    <t xml:space="preserve">1. Read Me</t>
  </si>
  <si>
    <t xml:space="preserve">Purpose, navigation, colour legend, methodology and extension roadmap.</t>
  </si>
  <si>
    <t xml:space="preserve">2. Assumptions</t>
  </si>
  <si>
    <t xml:space="preserve">All editable inputs with units and source/notes. Scenario selector (cell C5). Column F 'Active Case' feeds the model.</t>
  </si>
  <si>
    <t xml:space="preserve">3. Financial Model</t>
  </si>
  <si>
    <t xml:space="preserve">12-month route model for the active scenario: driver build, operating metrics, route P&amp;L, breakeven analysis and integrity checks. FY totals in column O.</t>
  </si>
  <si>
    <t xml:space="preserve">4. Scenario Comparison</t>
  </si>
  <si>
    <t xml:space="preserve">Base / Upside / Downside computed side by side by an independent engine (rows 50+), with variance vs. Base.</t>
  </si>
  <si>
    <t xml:space="preserve">Planned: Sensitivity Analysis</t>
  </si>
  <si>
    <t xml:space="preserve">Not yet built. Flex inputs via the inp_* defined names (or the Assumptions column F cells) and read results from the out_* defined names.</t>
  </si>
  <si>
    <t xml:space="preserve">Planned: Executive Dashboard</t>
  </si>
  <si>
    <t xml:space="preserve">Not yet built. KPI tiles and charts should reference out_* names and the Scenario Comparison summary (rows 6-40) rather than raw cell addresses.</t>
  </si>
  <si>
    <t xml:space="preserve">Colour Legend</t>
  </si>
  <si>
    <t xml:space="preserve">Blue text, yellow fill</t>
  </si>
  <si>
    <t xml:space="preserve">Editable input (hypothetical, illustrative).</t>
  </si>
  <si>
    <t xml:space="preserve">Black text</t>
  </si>
  <si>
    <t xml:space="preserve">Formula - do not overwrite.</t>
  </si>
  <si>
    <t xml:space="preserve">Green text</t>
  </si>
  <si>
    <t xml:space="preserve">Link pulled from another tab.</t>
  </si>
  <si>
    <t xml:space="preserve">Navy / light-blue bands</t>
  </si>
  <si>
    <t xml:space="preserve">Headers and section titles.</t>
  </si>
  <si>
    <t xml:space="preserve">PASS / FAIL</t>
  </si>
  <si>
    <t xml:space="preserve">Integrity check results (green / red) at the bottom of Financial Model.</t>
  </si>
  <si>
    <t xml:space="preserve">How To Use</t>
  </si>
  <si>
    <t xml:space="preserve">Step 1</t>
  </si>
  <si>
    <t xml:space="preserve">On Assumptions, choose the active scenario in C5 (Base, Upside, Downside).</t>
  </si>
  <si>
    <t xml:space="preserve">Step 2</t>
  </si>
  <si>
    <t xml:space="preserve">Edit blue input cells only. Data validation blocks out-of-range rates and negative costs.</t>
  </si>
  <si>
    <t xml:space="preserve">Step 3</t>
  </si>
  <si>
    <t xml:space="preserve">Review Financial Model (active case) and Scenario Comparison (all cases).</t>
  </si>
  <si>
    <t xml:space="preserve">Step 4</t>
  </si>
  <si>
    <t xml:space="preserve">Confirm the model status above reads 'ALL ... CHECKS PASS'.</t>
  </si>
  <si>
    <t xml:space="preserve">Methodology</t>
  </si>
  <si>
    <t xml:space="preserve">Scheduled flights</t>
  </si>
  <si>
    <t xml:space="preserve">Operating days x scheduled flights per operating day.</t>
  </si>
  <si>
    <t xml:space="preserve">Completed flights</t>
  </si>
  <si>
    <t xml:space="preserve">Scheduled flights x flight completion rate (expected value).</t>
  </si>
  <si>
    <t xml:space="preserve">Available seats</t>
  </si>
  <si>
    <t xml:space="preserve">Completed flights x aircraft passenger seats per flight.</t>
  </si>
  <si>
    <t xml:space="preserve">Passengers flown</t>
  </si>
  <si>
    <t xml:space="preserve">Available seats x passenger load factor (load factor = Month 1 input x demand growth index, capped at 100%).</t>
  </si>
  <si>
    <t xml:space="preserve">Passenger revenue</t>
  </si>
  <si>
    <t xml:space="preserve">Passengers flown x average fare (Month 1 fare x fare growth index).</t>
  </si>
  <si>
    <t xml:space="preserve">Direct flight costs</t>
  </si>
  <si>
    <t xml:space="preserve">Completed flights x variable operating cost per completed flight (x cost growth index). Cancelled flights incur no variable cost.</t>
  </si>
  <si>
    <t xml:space="preserve">Passenger-variable costs</t>
  </si>
  <si>
    <t xml:space="preserve">Passengers flown x variable cost per passenger (x cost growth index).</t>
  </si>
  <si>
    <t xml:space="preserve">Contribution profit</t>
  </si>
  <si>
    <t xml:space="preserve">Passenger revenue - direct flight costs - passenger-variable costs. Flight-level economics before any fixed cost.</t>
  </si>
  <si>
    <t xml:space="preserve">Route operating profit</t>
  </si>
  <si>
    <t xml:space="preserve">Contribution profit - route-specific fixed costs. This is a route-level management measure, NOT EBITDA: corporate overhead, R&amp;D, certification and aircraft ownership costs are excluded.</t>
  </si>
  <si>
    <t xml:space="preserve">Breakeven load factor</t>
  </si>
  <si>
    <t xml:space="preserve">(Direct flight costs [+ fixed route costs]) / (available seats x (fare - variable cost per passenger)). Flight-level version excludes fixed costs; route version includes them. Annual figure uses annual totals, i.e. a uniform load factor across the year.</t>
  </si>
  <si>
    <t xml:space="preserve">Annual rates</t>
  </si>
  <si>
    <t xml:space="preserve">Rates are weighted by their natural base (e.g. load factor = passengers / seats; fare = revenue / passengers), never simple averages of months. Any ratio with a zero denominator (e.g. margin with no revenue, cost per flight with no flights) shows 'n.m.' (not meaningful) rather than 0.</t>
  </si>
  <si>
    <t xml:space="preserve">Capacity cap</t>
  </si>
  <si>
    <t xml:space="preserve">Load factor is capped at 100%. The Financial Model shows how many months demand growth exceeds seat capacity (information only).</t>
  </si>
  <si>
    <t xml:space="preserve">Recalculation</t>
  </si>
  <si>
    <t xml:space="preserve">Workbook is set to fully recalculate on open. No circular references, no hard-coded results, no external links.</t>
  </si>
  <si>
    <t xml:space="preserve">Scaling Roadmap</t>
  </si>
  <si>
    <t xml:space="preserve">Multiple routes</t>
  </si>
  <si>
    <t xml:space="preserve">Add a Route ID to the Assumptions table (one column block or one row set per route), replicate the Financial Model block per route, and consolidate with SUMIFS on Route ID.</t>
  </si>
  <si>
    <t xml:space="preserve">Aircraft types / markets</t>
  </si>
  <si>
    <t xml:space="preserve">Move capacity and unit costs to an aircraft-type lookup and fares / demand to a market lookup; route rows reference them via INDEX/MATCH.</t>
  </si>
  <si>
    <t xml:space="preserve">Systems integration</t>
  </si>
  <si>
    <t xml:space="preserve">Replace hypothetical inputs with feeds from scheduling, booking, maintenance and ERP systems; keep this calculation layer and the integrity checks as the reconciliation control.</t>
  </si>
  <si>
    <t xml:space="preserve">Assumptions - Illustrative Air Taxi Route</t>
  </si>
  <si>
    <t xml:space="preserve">Edit blue cells only. Column F (Active Case) feeds every model calculation.</t>
  </si>
  <si>
    <t xml:space="preserve">Legend</t>
  </si>
  <si>
    <t xml:space="preserve">Active scenario (select)</t>
  </si>
  <si>
    <t xml:space="preserve">Base</t>
  </si>
  <si>
    <t xml:space="preserve">&lt;- choose Base, Upside or Downside; drives the Financial Model tab</t>
  </si>
  <si>
    <t xml:space="preserve">Blue text / yellow fill = editable input (hypothetical, illustrative)</t>
  </si>
  <si>
    <t xml:space="preserve">Active scenario index</t>
  </si>
  <si>
    <t xml:space="preserve">Black text = formula (do not overwrite)</t>
  </si>
  <si>
    <t xml:space="preserve">Model integrity status</t>
  </si>
  <si>
    <t xml:space="preserve">Green text = link pulled from another tab</t>
  </si>
  <si>
    <t xml:space="preserve">Parameter</t>
  </si>
  <si>
    <t xml:space="preserve">Unit</t>
  </si>
  <si>
    <t xml:space="preserve">Upside</t>
  </si>
  <si>
    <t xml:space="preserve">Downside</t>
  </si>
  <si>
    <t xml:space="preserve">Active Case</t>
  </si>
  <si>
    <t xml:space="preserve">Source / Notes</t>
  </si>
  <si>
    <t xml:space="preserve">1. Route &amp; Service Setup (applies to all scenarios)</t>
  </si>
  <si>
    <t xml:space="preserve">Route name</t>
  </si>
  <si>
    <t xml:space="preserve">text</t>
  </si>
  <si>
    <t xml:space="preserve">Route A: Downtown - Airport</t>
  </si>
  <si>
    <t xml:space="preserve">Illustrative placeholder (e.g., downtown vertiport to regional airport, ~15-25 miles). Not an announced Joby route.</t>
  </si>
  <si>
    <t xml:space="preserve">Service / aircraft type</t>
  </si>
  <si>
    <t xml:space="preserve">Piloted eVTOL air taxi</t>
  </si>
  <si>
    <t xml:space="preserve">Illustrative 4-passenger piloted eVTOL configuration. Add a row per aircraft type when extending to a multi-aircraft fleet.</t>
  </si>
  <si>
    <t xml:space="preserve">Model start month</t>
  </si>
  <si>
    <t xml:space="preserve">date</t>
  </si>
  <si>
    <t xml:space="preserve">all cases</t>
  </si>
  <si>
    <t xml:space="preserve">Illustrative timing used to label periods only. Not a Joby launch date.</t>
  </si>
  <si>
    <t xml:space="preserve">Aircraft passenger seats per flight</t>
  </si>
  <si>
    <t xml:space="preserve">seats / flight</t>
  </si>
  <si>
    <t xml:space="preserve">Illustrative; consistent with a pilot + 4 passenger eVTOL layout. Verify against current company disclosures before external use.</t>
  </si>
  <si>
    <t xml:space="preserve">Scheduled flights per operating day</t>
  </si>
  <si>
    <t xml:space="preserve">flights / day</t>
  </si>
  <si>
    <t xml:space="preserve">Illustrative: e.g., 2 aircraft x 16 one-way flights over a ~14-hour operating window. One-way flights.</t>
  </si>
  <si>
    <t xml:space="preserve">Operating days per month</t>
  </si>
  <si>
    <t xml:space="preserve">days / month</t>
  </si>
  <si>
    <t xml:space="preserve">Illustrative: allows ~2-3 non-operating days per month for weather, maintenance, holidays.</t>
  </si>
  <si>
    <t xml:space="preserve">2. Scenario Operating &amp; Unit Economics Drivers</t>
  </si>
  <si>
    <t xml:space="preserve">Flight completion rate</t>
  </si>
  <si>
    <t xml:space="preserve">% of scheduled</t>
  </si>
  <si>
    <t xml:space="preserve">Illustrative. Share of scheduled flights actually flown (weather, technical, ATC cancellations).</t>
  </si>
  <si>
    <t xml:space="preserve">Average fare per passenger (Month 1)</t>
  </si>
  <si>
    <t xml:space="preserve">$ / passenger</t>
  </si>
  <si>
    <t xml:space="preserve">Illustrative premium-rideshare-style price point for a ~15-25 mile urban trip. Net of discounts, excl. taxes.</t>
  </si>
  <si>
    <t xml:space="preserve">Passenger load factor (Month 1)</t>
  </si>
  <si>
    <t xml:space="preserve">% of seats</t>
  </si>
  <si>
    <t xml:space="preserve">Illustrative. Passengers flown / available seats on completed flights in Month 1.</t>
  </si>
  <si>
    <t xml:space="preserve">Variable operating cost per completed flight (Month 1)</t>
  </si>
  <si>
    <t xml:space="preserve">$ / completed flight</t>
  </si>
  <si>
    <t xml:space="preserve">Illustrative. Energy/charging, pilot cost per flight, maintenance reserves, landing &amp; vertiport usage fees.</t>
  </si>
  <si>
    <t xml:space="preserve">Variable cost per passenger (Month 1)</t>
  </si>
  <si>
    <t xml:space="preserve">Illustrative. Payment processing, booking/distribution, passenger handling and per-passenger fees.</t>
  </si>
  <si>
    <t xml:space="preserve">Monthly route-specific fixed costs (Month 1)</t>
  </si>
  <si>
    <t xml:space="preserve">$ / month</t>
  </si>
  <si>
    <t xml:space="preserve">Illustrative. Route-dedicated vertiport lease, ground staff, local marketing. Excludes corporate overhead, R&amp;D, certification, aircraft depreciation.</t>
  </si>
  <si>
    <t xml:space="preserve">3. Optional Monthly Growth Rates (compounding from Month 1)</t>
  </si>
  <si>
    <t xml:space="preserve">Monthly fare growth rate</t>
  </si>
  <si>
    <t xml:space="preserve">% per month</t>
  </si>
  <si>
    <t xml:space="preserve">Illustrative. Compounds monthly on the Month 1 fare. Negative = promotional pricing pressure.</t>
  </si>
  <si>
    <t xml:space="preserve">Monthly demand growth rate</t>
  </si>
  <si>
    <t xml:space="preserve">Illustrative. Compounds monthly on the Month 1 load factor (modelled load factor capped at 100%).</t>
  </si>
  <si>
    <t xml:space="preserve">Monthly operating cost growth rate</t>
  </si>
  <si>
    <t xml:space="preserve">Illustrative. Compounds monthly on variable cost per flight, variable cost per passenger and fixed costs. Negative = efficiency gains.</t>
  </si>
  <si>
    <t xml:space="preserve">4. Scenario Definitions</t>
  </si>
  <si>
    <t xml:space="preserve">Steady launch: 95% completion, $175 fare, 60% load factor building ~1.5%/month, flat unit costs.</t>
  </si>
  <si>
    <t xml:space="preserve">Strong adoption: higher fare and load factor, faster demand ramp, better reliability and modest cost efficiencies.</t>
  </si>
  <si>
    <t xml:space="preserve">Soft launch: discounted fares, weaker demand, more weather/technical cancellations and cost inflation.</t>
  </si>
  <si>
    <t xml:space="preserve">5. Methodology Notes</t>
  </si>
  <si>
    <t xml:space="preserve">- Only column F (Active Case) is referenced by the Financial Model; it picks Base/Upside/Downside via INDEX on the scenario index.</t>
  </si>
  <si>
    <t xml:space="preserve">- Rates are stored as fractions (0.60 = 60%). Monthly growth compounds: value in month m = Month 1 value x (1 + rate)^(m - 1).</t>
  </si>
  <si>
    <t xml:space="preserve">- Volumes are expected values (scheduled flights x completion rate), so completed flights and passengers may be fractional.</t>
  </si>
  <si>
    <t xml:space="preserve">- Fixed costs here are route-specific only. Corporate overhead, R&amp;D, certification and aircraft ownership costs are outside route operating profit.</t>
  </si>
  <si>
    <t xml:space="preserve">- To add a route: copy columns C:F into a new route block (or add a Route ID dimension) and point a new Financial Model block at it.</t>
  </si>
  <si>
    <t xml:space="preserve">Financial Model - Monthly Route Economics (12 months)</t>
  </si>
  <si>
    <t xml:space="preserve">Active scenario only. All values are formulas linked to the Assumptions tab.</t>
  </si>
  <si>
    <t xml:space="preserve">Line item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</si>
  <si>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</si>
  <si>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</si>
  <si>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</si>
  <si>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</si>
  <si>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</si>
  <si>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</si>
  <si>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</si>
  <si>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</si>
  <si>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</si>
  <si>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</si>
  <si>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</si>
  <si>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</si>
  <si>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FY Total</t>
  </si>
  <si>
    <t xml:space="preserve">Annual basis</t>
  </si>
  <si>
    <t xml:space="preserve">Month index</t>
  </si>
  <si>
    <t xml:space="preserve">#</t>
  </si>
  <si>
    <t xml:space="preserve">Period</t>
  </si>
  <si>
    <t xml:space="preserve">month</t>
  </si>
  <si>
    <t xml:space="preserve">A. Driver Build (Active Case from Assumptions)</t>
  </si>
  <si>
    <t xml:space="preserve">Operating days</t>
  </si>
  <si>
    <t xml:space="preserve">days</t>
  </si>
  <si>
    <t xml:space="preserve">Sum</t>
  </si>
  <si>
    <t xml:space="preserve">Weighted (flights / days)</t>
  </si>
  <si>
    <t xml:space="preserve">Fare growth index</t>
  </si>
  <si>
    <t xml:space="preserve">index</t>
  </si>
  <si>
    <t xml:space="preserve">Demand growth index</t>
  </si>
  <si>
    <t xml:space="preserve">Operating cost growth index</t>
  </si>
  <si>
    <t xml:space="preserve">Weighted (completed / scheduled)</t>
  </si>
  <si>
    <t xml:space="preserve">Passenger load factor</t>
  </si>
  <si>
    <t xml:space="preserve">Weighted (passengers / seats)</t>
  </si>
  <si>
    <t xml:space="preserve">Variable operating cost per completed flight</t>
  </si>
  <si>
    <t xml:space="preserve">$ / flight</t>
  </si>
  <si>
    <t xml:space="preserve">Weighted (flight costs / flights)</t>
  </si>
  <si>
    <t xml:space="preserve">Variable cost per passenger</t>
  </si>
  <si>
    <t xml:space="preserve">Weighted (pax costs / passengers)</t>
  </si>
  <si>
    <t xml:space="preserve">B. Operating Metrics</t>
  </si>
  <si>
    <t xml:space="preserve">flights</t>
  </si>
  <si>
    <t xml:space="preserve">Available passenger seats</t>
  </si>
  <si>
    <t xml:space="preserve">seats</t>
  </si>
  <si>
    <t xml:space="preserve">passengers</t>
  </si>
  <si>
    <t xml:space="preserve">C. Route P&amp;L</t>
  </si>
  <si>
    <t xml:space="preserve">Average fare</t>
  </si>
  <si>
    <t xml:space="preserve">Weighted avg (revenue / passengers)</t>
  </si>
  <si>
    <t xml:space="preserve">$</t>
  </si>
  <si>
    <t xml:space="preserve">Direct flight operating costs</t>
  </si>
  <si>
    <t xml:space="preserve">Total variable costs</t>
  </si>
  <si>
    <t xml:space="preserve">Contribution profit (flight-level)</t>
  </si>
  <si>
    <t xml:space="preserve">Contribution margin</t>
  </si>
  <si>
    <t xml:space="preserve">% of revenue</t>
  </si>
  <si>
    <t xml:space="preserve">Weighted (annual contribution / revenue)</t>
  </si>
  <si>
    <t xml:space="preserve">Contribution profit per completed flight</t>
  </si>
  <si>
    <t xml:space="preserve">Weighted (annual contribution / flights)</t>
  </si>
  <si>
    <t xml:space="preserve">Fixed route costs</t>
  </si>
  <si>
    <t xml:space="preserve">Route operating profit / (loss)</t>
  </si>
  <si>
    <t xml:space="preserve">Route operating margin</t>
  </si>
  <si>
    <t xml:space="preserve">Weighted (annual route op. profit / revenue)</t>
  </si>
  <si>
    <t xml:space="preserve">Cumulative route operating profit / (loss)</t>
  </si>
  <si>
    <t xml:space="preserve">End of period</t>
  </si>
  <si>
    <t xml:space="preserve">D. Breakeven Analysis</t>
  </si>
  <si>
    <t xml:space="preserve">Net margin per passenger (fare - variable cost per passenger)</t>
  </si>
  <si>
    <t xml:space="preserve">Weighted ((revenue - pax costs) / passengers)</t>
  </si>
  <si>
    <t xml:space="preserve">Passenger margin if every seat were sold (100% load factor)</t>
  </si>
  <si>
    <t xml:space="preserve">Breakeven load factor - flight level (contribution = 0)</t>
  </si>
  <si>
    <t xml:space="preserve">Annual: total flight costs / total max margin</t>
  </si>
  <si>
    <t xml:space="preserve">Breakeven load factor - route (after fixed route costs)</t>
  </si>
  <si>
    <t xml:space="preserve">Annual: (flight + fixed costs) / total max margin</t>
  </si>
  <si>
    <t xml:space="preserve">Load factor headroom vs. route breakeven</t>
  </si>
  <si>
    <t xml:space="preserve">pct. points</t>
  </si>
  <si>
    <t xml:space="preserve">Positive = above breakeven</t>
  </si>
  <si>
    <t xml:space="preserve">Breakeven load factor = (direct flight costs [+ fixed route costs]) / (available seats x (fare - variable cost per passenger)), holding fare, completion and unit costs at that period's values. Values above 100% mean breakeven is not reachable on current capacity. 'n.m.' = not meaningful (fare does not cover variable cost per passenger).</t>
  </si>
  <si>
    <t xml:space="preserve">E. Model Integrity Checks</t>
  </si>
  <si>
    <t xml:space="preserve">Check</t>
  </si>
  <si>
    <t xml:space="preserve">Result</t>
  </si>
  <si>
    <t xml:space="preserve">What it tests</t>
  </si>
  <si>
    <t xml:space="preserve">Scenario selector is valid</t>
  </si>
  <si>
    <t xml:space="preserve">Active scenario name matches Base, Upside or Downside.</t>
  </si>
  <si>
    <t xml:space="preserve">Input load factors within 0%-100% (all scenarios)</t>
  </si>
  <si>
    <t xml:space="preserve">Base/Upside/Downside Month 1 load factor inputs.</t>
  </si>
  <si>
    <t xml:space="preserve">Input completion rates within 0%-100% (all scenarios)</t>
  </si>
  <si>
    <t xml:space="preserve">Base/Upside/Downside completion rate inputs.</t>
  </si>
  <si>
    <t xml:space="preserve">Modelled monthly load factor within 0%-100%</t>
  </si>
  <si>
    <t xml:space="preserve">After demand growth is applied (row is capped at 100%).</t>
  </si>
  <si>
    <t xml:space="preserve">Modelled monthly completion rate within 0%-100%</t>
  </si>
  <si>
    <t xml:space="preserve">Active case, every month.</t>
  </si>
  <si>
    <t xml:space="preserve">Capacity, flights per day and operating days are non-negative</t>
  </si>
  <si>
    <t xml:space="preserve">Route setup inputs.</t>
  </si>
  <si>
    <t xml:space="preserve">Scheduled and completed flights non-negative; completed &lt;= scheduled</t>
  </si>
  <si>
    <t xml:space="preserve">Every month.</t>
  </si>
  <si>
    <t xml:space="preserve">Passengers flown &lt;= available seats</t>
  </si>
  <si>
    <t xml:space="preserve">Cost inputs non-negative (all scenarios)</t>
  </si>
  <si>
    <t xml:space="preserve">Variable cost per flight, per passenger and fixed costs.</t>
  </si>
  <si>
    <t xml:space="preserve">Modelled costs non-negative</t>
  </si>
  <si>
    <t xml:space="preserve">Every month, after cost growth.</t>
  </si>
  <si>
    <t xml:space="preserve">Annual totals equal the sum of the months</t>
  </si>
  <si>
    <t xml:space="preserve">Revenue, total variable costs, route operating profit.</t>
  </si>
  <si>
    <t xml:space="preserve">Revenue reconciles to passengers x average fare, month by month</t>
  </si>
  <si>
    <t xml:space="preserve">Annual revenue = sum of (monthly passengers x monthly fare).</t>
  </si>
  <si>
    <t xml:space="preserve">Variable costs reconcile (flight + passenger = total)</t>
  </si>
  <si>
    <t xml:space="preserve">No double counting of variable costs.</t>
  </si>
  <si>
    <t xml:space="preserve">Route P&amp;L reconciles: revenue - variable - fixed = route operating profit</t>
  </si>
  <si>
    <t xml:space="preserve">Each cost counted exactly once.</t>
  </si>
  <si>
    <t xml:space="preserve">Contribution per flight x completed flights = contribution profit</t>
  </si>
  <si>
    <t xml:space="preserve">Annual (zero flights must mean zero contribution).</t>
  </si>
  <si>
    <t xml:space="preserve">Cumulative route operating profit = annual total</t>
  </si>
  <si>
    <t xml:space="preserve">Month 12 cumulative vs. FY total.</t>
  </si>
  <si>
    <t xml:space="preserve">Scenario Comparison (active case) matches Financial Model - revenue</t>
  </si>
  <si>
    <t xml:space="preserve">Independent scenario engine reconciles to the main model.</t>
  </si>
  <si>
    <t xml:space="preserve">Scenario Comparison (active case) matches Financial Model - route operating profit</t>
  </si>
  <si>
    <t xml:space="preserve">Scenario Comparison (active case) matches Financial Model - passengers</t>
  </si>
  <si>
    <t xml:space="preserve">OVERALL MODEL STATUS</t>
  </si>
  <si>
    <t xml:space="preserve">Months where demand exceeds seat capacity (load factor capped at 100%)</t>
  </si>
  <si>
    <t xml:space="preserve">Information only. Above zero means the demand growth assumption implies more passengers than seats; the excess is not flown or counted as revenue.</t>
  </si>
  <si>
    <t xml:space="preserve">Scenario Comparison - Base / Upside / Downside</t>
  </si>
  <si>
    <t xml:space="preserve">All three cases are computed simultaneously in the engine below, independent of the active-scenario selector.</t>
  </si>
  <si>
    <t xml:space="preserve">Metric</t>
  </si>
  <si>
    <t xml:space="preserve">Upside vs Base</t>
  </si>
  <si>
    <t xml:space="preserve">Downside vs Base</t>
  </si>
  <si>
    <t xml:space="preserve">Notes</t>
  </si>
  <si>
    <t xml:space="preserve">Key Scenario Assumptions (linked from Assumptions tab)</t>
  </si>
  <si>
    <t xml:space="preserve">%</t>
  </si>
  <si>
    <t xml:space="preserve">Average fare (Month 1)</t>
  </si>
  <si>
    <t xml:space="preserve">Load factor (Month 1)</t>
  </si>
  <si>
    <t xml:space="preserve">Variable cost per completed flight (Month 1)</t>
  </si>
  <si>
    <t xml:space="preserve">Fixed route costs (Month 1)</t>
  </si>
  <si>
    <t xml:space="preserve">Monthly fare growth</t>
  </si>
  <si>
    <t xml:space="preserve">% / month</t>
  </si>
  <si>
    <t xml:space="preserve">Monthly demand growth</t>
  </si>
  <si>
    <t xml:space="preserve">Monthly operating cost growth</t>
  </si>
  <si>
    <t xml:space="preserve">Annual Results (12 months)</t>
  </si>
  <si>
    <t xml:space="preserve">Average load factor (weighted)</t>
  </si>
  <si>
    <t xml:space="preserve">Passengers / available seats</t>
  </si>
  <si>
    <t xml:space="preserve">Average fare (weighted)</t>
  </si>
  <si>
    <t xml:space="preserve">Revenue / passengers</t>
  </si>
  <si>
    <t xml:space="preserve">Annual passenger revenue</t>
  </si>
  <si>
    <t xml:space="preserve">Direct flight + passenger-variable costs</t>
  </si>
  <si>
    <t xml:space="preserve">Flight-level, before fixed route costs</t>
  </si>
  <si>
    <t xml:space="preserve">After route fixed costs; not EBITDA</t>
  </si>
  <si>
    <t xml:space="preserve">Breakeven load factor - flight level</t>
  </si>
  <si>
    <t xml:space="preserve">Load factor at which contribution = 0</t>
  </si>
  <si>
    <t xml:space="preserve">Breakeven load factor - route</t>
  </si>
  <si>
    <t xml:space="preserve">Load factor at which route operating profit = 0</t>
  </si>
  <si>
    <t xml:space="preserve">Months with positive route operating profit</t>
  </si>
  <si>
    <t xml:space="preserve">months</t>
  </si>
  <si>
    <t xml:space="preserve">Scenario Definitions</t>
  </si>
  <si>
    <t xml:space="preserve">Variance columns show Upside/Downside minus Base (percentage rows are differences in percentage points). Scenario values are illustrative.</t>
  </si>
  <si>
    <t xml:space="preserve">Scenario Calculation Engine (monthly; same logic as the Financial Model tab)</t>
  </si>
  <si>
    <t xml:space="preserve">Base case</t>
  </si>
  <si>
    <t xml:space="preserve">Passenger margin at 100% load factor</t>
  </si>
  <si>
    <t xml:space="preserve">Upside case</t>
  </si>
  <si>
    <t xml:space="preserve">Downside case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</si>
</sst>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"/>
    <numFmt numFmtId="167" formatCode="@"/>
    <numFmt numFmtId="168" formatCode="mmm\-yy"/>
    <numFmt numFmtId="169" formatCode="#,##0;\(#,##0\);\-"/>
    <numFmt numFmtId="170" formatCode="0.0%;\(0.0%\);\-"/>
    <numFmt numFmtId="171" formatCode="\$#,##0.00;&quot;($&quot;#,##0.00\);\-"/>
    <numFmt numFmtId="172" formatCode="0.00%;\(0.00%\);&quot;0.00%&quot;"/>
    <numFmt numFmtId="173" formatCode="#,##0.0;\(#,##0.0\);\-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7FC"/>
      </patternFill>
    </fill>
    <fill>
      <patternFill patternType="solid">
        <fgColor rgb="FFFFF2CC"/>
        <bgColor rgb="FFFFEB9C"/>
      </patternFill>
    </fill>
    <fill>
      <patternFill patternType="solid">
        <fgColor rgb="FF2F5597"/>
        <bgColor rgb="FF1F3864"/>
      </patternFill>
    </fill>
    <fill>
      <patternFill patternType="solid">
        <fgColor rgb="FFF2F7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/>
      <right/>
      <top style="thin">
        <color rgb="FF1F3864"/>
      </top>
      <bottom style="double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C00000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  <col collapsed="false" customWidth="true" hidden="false" outlineLevel="0" max="4" min="3" style="0" width="3"/>
  </cols>
  <sheetData>
    <row r="1" customFormat="false" ht="25.5" hidden="false" customHeight="true" outlineLevel="0" collapsed="false">
      <c r="A1" s="1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 t="str">
        <f aca="false">'Financial Model'!$C$70</f>
        <v>ALL 19 CHECKS PASS</v>
      </c>
    </row>
    <row r="6" customFormat="false" ht="15" hidden="false" customHeight="false" outlineLevel="0" collapsed="false">
      <c r="A6" s="5" t="s">
        <v>4</v>
      </c>
      <c r="B6" s="7" t="str">
        <f aca="false">Assumptions!$C$5</f>
        <v>Base</v>
      </c>
    </row>
    <row r="7" customFormat="false" ht="15" hidden="false" customHeight="false" outlineLevel="0" collapsed="false">
      <c r="A7" s="5" t="s">
        <v>5</v>
      </c>
      <c r="B7" s="8" t="n">
        <f aca="false">'Financial Model'!$O$37</f>
        <v>198265.691253371</v>
      </c>
    </row>
    <row r="9" customFormat="false" ht="15" hidden="false" customHeight="false" outlineLevel="0" collapsed="false">
      <c r="A9" s="9" t="s">
        <v>6</v>
      </c>
      <c r="B9" s="10"/>
      <c r="C9" s="10"/>
      <c r="D9" s="10"/>
    </row>
    <row r="10" customFormat="false" ht="43.5" hidden="false" customHeight="true" outlineLevel="0" collapsed="false">
      <c r="A10" s="11" t="s">
        <v>7</v>
      </c>
      <c r="B10" s="12" t="s">
        <v>8</v>
      </c>
    </row>
    <row r="11" customFormat="false" ht="30" hidden="false" customHeight="true" outlineLevel="0" collapsed="false">
      <c r="A11" s="11" t="s">
        <v>9</v>
      </c>
      <c r="B11" s="12" t="s">
        <v>10</v>
      </c>
    </row>
    <row r="13" customFormat="false" ht="15" hidden="false" customHeight="false" outlineLevel="0" collapsed="false">
      <c r="A13" s="9" t="s">
        <v>11</v>
      </c>
      <c r="B13" s="10"/>
      <c r="C13" s="10"/>
      <c r="D13" s="10"/>
    </row>
    <row r="14" customFormat="false" ht="15.75" hidden="false" customHeight="true" outlineLevel="0" collapsed="false">
      <c r="A14" s="11" t="s">
        <v>12</v>
      </c>
      <c r="B14" s="12" t="s">
        <v>13</v>
      </c>
    </row>
    <row r="15" customFormat="false" ht="30" hidden="false" customHeight="true" outlineLevel="0" collapsed="false">
      <c r="A15" s="11" t="s">
        <v>14</v>
      </c>
      <c r="B15" s="12" t="s">
        <v>15</v>
      </c>
    </row>
    <row r="16" customFormat="false" ht="30" hidden="false" customHeight="true" outlineLevel="0" collapsed="false">
      <c r="A16" s="11" t="s">
        <v>16</v>
      </c>
      <c r="B16" s="12" t="s">
        <v>17</v>
      </c>
    </row>
    <row r="17" customFormat="false" ht="30" hidden="false" customHeight="true" outlineLevel="0" collapsed="false">
      <c r="A17" s="11" t="s">
        <v>18</v>
      </c>
      <c r="B17" s="12" t="s">
        <v>19</v>
      </c>
    </row>
    <row r="18" customFormat="false" ht="30" hidden="false" customHeight="true" outlineLevel="0" collapsed="false">
      <c r="A18" s="11" t="s">
        <v>20</v>
      </c>
      <c r="B18" s="12" t="s">
        <v>21</v>
      </c>
    </row>
    <row r="19" customFormat="false" ht="30" hidden="false" customHeight="true" outlineLevel="0" collapsed="false">
      <c r="A19" s="11" t="s">
        <v>22</v>
      </c>
      <c r="B19" s="12" t="s">
        <v>23</v>
      </c>
    </row>
    <row r="21" customFormat="false" ht="15" hidden="false" customHeight="false" outlineLevel="0" collapsed="false">
      <c r="A21" s="9" t="s">
        <v>24</v>
      </c>
      <c r="B21" s="10"/>
      <c r="C21" s="10"/>
      <c r="D21" s="10"/>
    </row>
    <row r="22" customFormat="false" ht="15.75" hidden="false" customHeight="true" outlineLevel="0" collapsed="false">
      <c r="A22" s="11" t="s">
        <v>25</v>
      </c>
      <c r="B22" s="12" t="s">
        <v>26</v>
      </c>
    </row>
    <row r="23" customFormat="false" ht="15.75" hidden="false" customHeight="true" outlineLevel="0" collapsed="false">
      <c r="A23" s="11" t="s">
        <v>27</v>
      </c>
      <c r="B23" s="12" t="s">
        <v>28</v>
      </c>
    </row>
    <row r="24" customFormat="false" ht="15.75" hidden="false" customHeight="true" outlineLevel="0" collapsed="false">
      <c r="A24" s="11" t="s">
        <v>29</v>
      </c>
      <c r="B24" s="12" t="s">
        <v>30</v>
      </c>
    </row>
    <row r="25" customFormat="false" ht="15.75" hidden="false" customHeight="true" outlineLevel="0" collapsed="false">
      <c r="A25" s="11" t="s">
        <v>31</v>
      </c>
      <c r="B25" s="12" t="s">
        <v>32</v>
      </c>
    </row>
    <row r="26" customFormat="false" ht="15.75" hidden="false" customHeight="true" outlineLevel="0" collapsed="false">
      <c r="A26" s="11" t="s">
        <v>33</v>
      </c>
      <c r="B26" s="12" t="s">
        <v>34</v>
      </c>
    </row>
    <row r="28" customFormat="false" ht="15" hidden="false" customHeight="false" outlineLevel="0" collapsed="false">
      <c r="A28" s="9" t="s">
        <v>35</v>
      </c>
      <c r="B28" s="10"/>
      <c r="C28" s="10"/>
      <c r="D28" s="10"/>
    </row>
    <row r="29" customFormat="false" ht="15.75" hidden="false" customHeight="true" outlineLevel="0" collapsed="false">
      <c r="A29" s="11" t="s">
        <v>36</v>
      </c>
      <c r="B29" s="12" t="s">
        <v>37</v>
      </c>
    </row>
    <row r="30" customFormat="false" ht="15.75" hidden="false" customHeight="true" outlineLevel="0" collapsed="false">
      <c r="A30" s="11" t="s">
        <v>38</v>
      </c>
      <c r="B30" s="12" t="s">
        <v>39</v>
      </c>
    </row>
    <row r="31" customFormat="false" ht="15.75" hidden="false" customHeight="true" outlineLevel="0" collapsed="false">
      <c r="A31" s="11" t="s">
        <v>40</v>
      </c>
      <c r="B31" s="12" t="s">
        <v>41</v>
      </c>
    </row>
    <row r="32" customFormat="false" ht="15.75" hidden="false" customHeight="true" outlineLevel="0" collapsed="false">
      <c r="A32" s="11" t="s">
        <v>42</v>
      </c>
      <c r="B32" s="12" t="s">
        <v>43</v>
      </c>
    </row>
    <row r="34" customFormat="false" ht="15" hidden="false" customHeight="false" outlineLevel="0" collapsed="false">
      <c r="A34" s="9" t="s">
        <v>44</v>
      </c>
      <c r="B34" s="10"/>
      <c r="C34" s="10"/>
      <c r="D34" s="10"/>
    </row>
    <row r="35" customFormat="false" ht="15.75" hidden="false" customHeight="true" outlineLevel="0" collapsed="false">
      <c r="A35" s="11" t="s">
        <v>45</v>
      </c>
      <c r="B35" s="12" t="s">
        <v>46</v>
      </c>
    </row>
    <row r="36" customFormat="false" ht="15.75" hidden="false" customHeight="true" outlineLevel="0" collapsed="false">
      <c r="A36" s="11" t="s">
        <v>47</v>
      </c>
      <c r="B36" s="12" t="s">
        <v>48</v>
      </c>
    </row>
    <row r="37" customFormat="false" ht="15.75" hidden="false" customHeight="true" outlineLevel="0" collapsed="false">
      <c r="A37" s="11" t="s">
        <v>49</v>
      </c>
      <c r="B37" s="12" t="s">
        <v>50</v>
      </c>
    </row>
    <row r="38" customFormat="false" ht="30" hidden="false" customHeight="true" outlineLevel="0" collapsed="false">
      <c r="A38" s="11" t="s">
        <v>51</v>
      </c>
      <c r="B38" s="12" t="s">
        <v>52</v>
      </c>
    </row>
    <row r="39" customFormat="false" ht="15.75" hidden="false" customHeight="true" outlineLevel="0" collapsed="false">
      <c r="A39" s="11" t="s">
        <v>53</v>
      </c>
      <c r="B39" s="12" t="s">
        <v>54</v>
      </c>
    </row>
    <row r="40" customFormat="false" ht="30" hidden="false" customHeight="true" outlineLevel="0" collapsed="false">
      <c r="A40" s="11" t="s">
        <v>55</v>
      </c>
      <c r="B40" s="12" t="s">
        <v>56</v>
      </c>
    </row>
    <row r="41" customFormat="false" ht="15.75" hidden="false" customHeight="true" outlineLevel="0" collapsed="false">
      <c r="A41" s="11" t="s">
        <v>57</v>
      </c>
      <c r="B41" s="12" t="s">
        <v>58</v>
      </c>
    </row>
    <row r="42" customFormat="false" ht="30" hidden="false" customHeight="true" outlineLevel="0" collapsed="false">
      <c r="A42" s="11" t="s">
        <v>59</v>
      </c>
      <c r="B42" s="12" t="s">
        <v>60</v>
      </c>
    </row>
    <row r="43" customFormat="false" ht="30" hidden="false" customHeight="true" outlineLevel="0" collapsed="false">
      <c r="A43" s="11" t="s">
        <v>61</v>
      </c>
      <c r="B43" s="12" t="s">
        <v>62</v>
      </c>
    </row>
    <row r="44" customFormat="false" ht="43.5" hidden="false" customHeight="true" outlineLevel="0" collapsed="false">
      <c r="A44" s="11" t="s">
        <v>63</v>
      </c>
      <c r="B44" s="12" t="s">
        <v>64</v>
      </c>
    </row>
    <row r="45" customFormat="false" ht="43.5" hidden="false" customHeight="true" outlineLevel="0" collapsed="false">
      <c r="A45" s="11" t="s">
        <v>65</v>
      </c>
      <c r="B45" s="12" t="s">
        <v>66</v>
      </c>
    </row>
    <row r="46" customFormat="false" ht="30" hidden="false" customHeight="true" outlineLevel="0" collapsed="false">
      <c r="A46" s="11" t="s">
        <v>67</v>
      </c>
      <c r="B46" s="12" t="s">
        <v>68</v>
      </c>
    </row>
    <row r="47" customFormat="false" ht="30" hidden="false" customHeight="true" outlineLevel="0" collapsed="false">
      <c r="A47" s="11" t="s">
        <v>69</v>
      </c>
      <c r="B47" s="12" t="s">
        <v>70</v>
      </c>
    </row>
    <row r="49" customFormat="false" ht="15" hidden="false" customHeight="false" outlineLevel="0" collapsed="false">
      <c r="A49" s="9" t="s">
        <v>71</v>
      </c>
      <c r="B49" s="10"/>
      <c r="C49" s="10"/>
      <c r="D49" s="10"/>
    </row>
    <row r="50" customFormat="false" ht="30" hidden="false" customHeight="true" outlineLevel="0" collapsed="false">
      <c r="A50" s="11" t="s">
        <v>72</v>
      </c>
      <c r="B50" s="12" t="s">
        <v>73</v>
      </c>
    </row>
    <row r="51" customFormat="false" ht="30" hidden="false" customHeight="true" outlineLevel="0" collapsed="false">
      <c r="A51" s="11" t="s">
        <v>74</v>
      </c>
      <c r="B51" s="12" t="s">
        <v>75</v>
      </c>
    </row>
    <row r="52" customFormat="false" ht="30" hidden="false" customHeight="true" outlineLevel="0" collapsed="false">
      <c r="A52" s="11" t="s">
        <v>76</v>
      </c>
      <c r="B52" s="12" t="s">
        <v>77</v>
      </c>
    </row>
  </sheetData>
  <conditionalFormatting sqref="B5">
    <cfRule type="expression" priority="2" aboveAverage="0" equalAverage="0" bottom="0" percent="0" rank="0" text="" dxfId="0">
      <formula>LEFT($B$5,3)="ALL"</formula>
    </cfRule>
    <cfRule type="expression" priority="3" aboveAverage="0" equalAverage="0" bottom="0" percent="0" rank="0" text="" dxfId="1">
      <formula>LEFT($B$5,3)&lt;&gt;"ALL"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7" min="7" style="0" width="90"/>
  </cols>
  <sheetData>
    <row r="1" customFormat="false" ht="25.5" hidden="false" customHeight="true" outlineLevel="0" collapsed="false">
      <c r="A1" s="1" t="s">
        <v>78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79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G4" s="5" t="s">
        <v>80</v>
      </c>
    </row>
    <row r="5" customFormat="false" ht="15" hidden="false" customHeight="false" outlineLevel="0" collapsed="false">
      <c r="A5" s="5" t="s">
        <v>81</v>
      </c>
      <c r="C5" s="13" t="s">
        <v>82</v>
      </c>
      <c r="D5" s="14" t="s">
        <v>83</v>
      </c>
      <c r="G5" s="15" t="s">
        <v>84</v>
      </c>
    </row>
    <row r="6" customFormat="false" ht="15" hidden="false" customHeight="false" outlineLevel="0" collapsed="false">
      <c r="A6" s="16" t="s">
        <v>85</v>
      </c>
      <c r="C6" s="17" t="n">
        <f aca="false">MATCH($C$5,$C$9:$E$9,0)</f>
        <v>1</v>
      </c>
      <c r="G6" s="16" t="s">
        <v>86</v>
      </c>
    </row>
    <row r="7" customFormat="false" ht="15" hidden="false" customHeight="false" outlineLevel="0" collapsed="false">
      <c r="A7" s="16" t="s">
        <v>87</v>
      </c>
      <c r="C7" s="6" t="str">
        <f aca="false">'Financial Model'!$C$70</f>
        <v>ALL 19 CHECKS PASS</v>
      </c>
      <c r="G7" s="7" t="s">
        <v>88</v>
      </c>
    </row>
    <row r="9" customFormat="false" ht="19.5" hidden="false" customHeight="true" outlineLevel="0" collapsed="false">
      <c r="A9" s="18" t="s">
        <v>89</v>
      </c>
      <c r="B9" s="19" t="s">
        <v>90</v>
      </c>
      <c r="C9" s="19" t="s">
        <v>82</v>
      </c>
      <c r="D9" s="19" t="s">
        <v>91</v>
      </c>
      <c r="E9" s="19" t="s">
        <v>92</v>
      </c>
      <c r="F9" s="19" t="s">
        <v>93</v>
      </c>
      <c r="G9" s="19" t="s">
        <v>94</v>
      </c>
    </row>
    <row r="10" customFormat="false" ht="15" hidden="false" customHeight="false" outlineLevel="0" collapsed="false">
      <c r="A10" s="9" t="s">
        <v>95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6" t="s">
        <v>96</v>
      </c>
      <c r="B11" s="16" t="s">
        <v>97</v>
      </c>
      <c r="C11" s="20" t="s">
        <v>98</v>
      </c>
      <c r="D11" s="20"/>
      <c r="E11" s="20"/>
      <c r="F11" s="21" t="str">
        <f aca="false">$C11</f>
        <v>Route A: Downtown - Airport</v>
      </c>
      <c r="G11" s="22" t="s">
        <v>99</v>
      </c>
    </row>
    <row r="12" customFormat="false" ht="15" hidden="false" customHeight="false" outlineLevel="0" collapsed="false">
      <c r="A12" s="16" t="s">
        <v>100</v>
      </c>
      <c r="B12" s="16" t="s">
        <v>97</v>
      </c>
      <c r="C12" s="20" t="s">
        <v>101</v>
      </c>
      <c r="D12" s="20"/>
      <c r="E12" s="20"/>
      <c r="F12" s="21" t="str">
        <f aca="false">$C12</f>
        <v>Piloted eVTOL air taxi</v>
      </c>
      <c r="G12" s="22" t="s">
        <v>102</v>
      </c>
    </row>
    <row r="13" customFormat="false" ht="15" hidden="false" customHeight="false" outlineLevel="0" collapsed="false">
      <c r="A13" s="16" t="s">
        <v>103</v>
      </c>
      <c r="B13" s="16" t="s">
        <v>104</v>
      </c>
      <c r="C13" s="23" t="n">
        <v>46388</v>
      </c>
      <c r="D13" s="24" t="s">
        <v>105</v>
      </c>
      <c r="E13" s="24" t="s">
        <v>105</v>
      </c>
      <c r="F13" s="25" t="n">
        <f aca="false">$C13</f>
        <v>46388</v>
      </c>
      <c r="G13" s="22" t="s">
        <v>106</v>
      </c>
    </row>
    <row r="14" customFormat="false" ht="22.35" hidden="false" customHeight="false" outlineLevel="0" collapsed="false">
      <c r="A14" s="16" t="s">
        <v>107</v>
      </c>
      <c r="B14" s="16" t="s">
        <v>108</v>
      </c>
      <c r="C14" s="26" t="n">
        <v>4</v>
      </c>
      <c r="D14" s="24" t="s">
        <v>105</v>
      </c>
      <c r="E14" s="24" t="s">
        <v>105</v>
      </c>
      <c r="F14" s="27" t="n">
        <f aca="false">$C14</f>
        <v>4</v>
      </c>
      <c r="G14" s="22" t="s">
        <v>109</v>
      </c>
    </row>
    <row r="15" customFormat="false" ht="15" hidden="false" customHeight="false" outlineLevel="0" collapsed="false">
      <c r="A15" s="16" t="s">
        <v>110</v>
      </c>
      <c r="B15" s="16" t="s">
        <v>111</v>
      </c>
      <c r="C15" s="26" t="n">
        <v>32</v>
      </c>
      <c r="D15" s="24" t="s">
        <v>105</v>
      </c>
      <c r="E15" s="24" t="s">
        <v>105</v>
      </c>
      <c r="F15" s="27" t="n">
        <f aca="false">$C15</f>
        <v>32</v>
      </c>
      <c r="G15" s="22" t="s">
        <v>112</v>
      </c>
    </row>
    <row r="16" customFormat="false" ht="15" hidden="false" customHeight="false" outlineLevel="0" collapsed="false">
      <c r="A16" s="16" t="s">
        <v>113</v>
      </c>
      <c r="B16" s="16" t="s">
        <v>114</v>
      </c>
      <c r="C16" s="26" t="n">
        <v>28</v>
      </c>
      <c r="D16" s="24" t="s">
        <v>105</v>
      </c>
      <c r="E16" s="24" t="s">
        <v>105</v>
      </c>
      <c r="F16" s="27" t="n">
        <f aca="false">$C16</f>
        <v>28</v>
      </c>
      <c r="G16" s="22" t="s">
        <v>115</v>
      </c>
    </row>
    <row r="18" customFormat="false" ht="15" hidden="false" customHeight="false" outlineLevel="0" collapsed="false">
      <c r="A18" s="9" t="s">
        <v>116</v>
      </c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6" t="s">
        <v>117</v>
      </c>
      <c r="B19" s="16" t="s">
        <v>118</v>
      </c>
      <c r="C19" s="28" t="n">
        <v>0.95</v>
      </c>
      <c r="D19" s="28" t="n">
        <v>0.97</v>
      </c>
      <c r="E19" s="28" t="n">
        <v>0.9</v>
      </c>
      <c r="F19" s="29" t="n">
        <f aca="false">INDEX($C19:$E19,$C$6)</f>
        <v>0.95</v>
      </c>
      <c r="G19" s="22" t="s">
        <v>119</v>
      </c>
    </row>
    <row r="20" customFormat="false" ht="15" hidden="false" customHeight="false" outlineLevel="0" collapsed="false">
      <c r="A20" s="16" t="s">
        <v>120</v>
      </c>
      <c r="B20" s="16" t="s">
        <v>121</v>
      </c>
      <c r="C20" s="30" t="n">
        <v>175</v>
      </c>
      <c r="D20" s="30" t="n">
        <v>190</v>
      </c>
      <c r="E20" s="30" t="n">
        <v>160</v>
      </c>
      <c r="F20" s="31" t="n">
        <f aca="false">INDEX($C20:$E20,$C$6)</f>
        <v>175</v>
      </c>
      <c r="G20" s="22" t="s">
        <v>122</v>
      </c>
    </row>
    <row r="21" customFormat="false" ht="15" hidden="false" customHeight="false" outlineLevel="0" collapsed="false">
      <c r="A21" s="16" t="s">
        <v>123</v>
      </c>
      <c r="B21" s="16" t="s">
        <v>124</v>
      </c>
      <c r="C21" s="28" t="n">
        <v>0.6</v>
      </c>
      <c r="D21" s="28" t="n">
        <v>0.68</v>
      </c>
      <c r="E21" s="28" t="n">
        <v>0.52</v>
      </c>
      <c r="F21" s="29" t="n">
        <f aca="false">INDEX($C21:$E21,$C$6)</f>
        <v>0.6</v>
      </c>
      <c r="G21" s="22" t="s">
        <v>125</v>
      </c>
    </row>
    <row r="22" customFormat="false" ht="15" hidden="false" customHeight="false" outlineLevel="0" collapsed="false">
      <c r="A22" s="16" t="s">
        <v>126</v>
      </c>
      <c r="B22" s="16" t="s">
        <v>127</v>
      </c>
      <c r="C22" s="30" t="n">
        <v>300</v>
      </c>
      <c r="D22" s="30" t="n">
        <v>280</v>
      </c>
      <c r="E22" s="30" t="n">
        <v>320</v>
      </c>
      <c r="F22" s="31" t="n">
        <f aca="false">INDEX($C22:$E22,$C$6)</f>
        <v>300</v>
      </c>
      <c r="G22" s="22" t="s">
        <v>128</v>
      </c>
    </row>
    <row r="23" customFormat="false" ht="15" hidden="false" customHeight="false" outlineLevel="0" collapsed="false">
      <c r="A23" s="16" t="s">
        <v>129</v>
      </c>
      <c r="B23" s="16" t="s">
        <v>121</v>
      </c>
      <c r="C23" s="30" t="n">
        <v>12</v>
      </c>
      <c r="D23" s="30" t="n">
        <v>10</v>
      </c>
      <c r="E23" s="30" t="n">
        <v>15</v>
      </c>
      <c r="F23" s="31" t="n">
        <f aca="false">INDEX($C23:$E23,$C$6)</f>
        <v>12</v>
      </c>
      <c r="G23" s="22" t="s">
        <v>130</v>
      </c>
    </row>
    <row r="24" customFormat="false" ht="22.35" hidden="false" customHeight="false" outlineLevel="0" collapsed="false">
      <c r="A24" s="16" t="s">
        <v>131</v>
      </c>
      <c r="B24" s="16" t="s">
        <v>132</v>
      </c>
      <c r="C24" s="32" t="n">
        <v>90000</v>
      </c>
      <c r="D24" s="32" t="n">
        <v>85000</v>
      </c>
      <c r="E24" s="32" t="n">
        <v>100000</v>
      </c>
      <c r="F24" s="33" t="n">
        <f aca="false">INDEX($C24:$E24,$C$6)</f>
        <v>90000</v>
      </c>
      <c r="G24" s="22" t="s">
        <v>133</v>
      </c>
    </row>
    <row r="26" customFormat="false" ht="15" hidden="false" customHeight="false" outlineLevel="0" collapsed="false">
      <c r="A26" s="9" t="s">
        <v>134</v>
      </c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6" t="s">
        <v>135</v>
      </c>
      <c r="B27" s="16" t="s">
        <v>136</v>
      </c>
      <c r="C27" s="34" t="n">
        <v>0</v>
      </c>
      <c r="D27" s="34" t="n">
        <v>0.0025</v>
      </c>
      <c r="E27" s="34" t="n">
        <v>-0.005</v>
      </c>
      <c r="F27" s="35" t="n">
        <f aca="false">INDEX($C27:$E27,$C$6)</f>
        <v>0</v>
      </c>
      <c r="G27" s="22" t="s">
        <v>137</v>
      </c>
    </row>
    <row r="28" customFormat="false" ht="15" hidden="false" customHeight="false" outlineLevel="0" collapsed="false">
      <c r="A28" s="16" t="s">
        <v>138</v>
      </c>
      <c r="B28" s="16" t="s">
        <v>136</v>
      </c>
      <c r="C28" s="34" t="n">
        <v>0.015</v>
      </c>
      <c r="D28" s="34" t="n">
        <v>0.02</v>
      </c>
      <c r="E28" s="34" t="n">
        <v>0.005</v>
      </c>
      <c r="F28" s="35" t="n">
        <f aca="false">INDEX($C28:$E28,$C$6)</f>
        <v>0.015</v>
      </c>
      <c r="G28" s="22" t="s">
        <v>139</v>
      </c>
    </row>
    <row r="29" customFormat="false" ht="22.35" hidden="false" customHeight="false" outlineLevel="0" collapsed="false">
      <c r="A29" s="16" t="s">
        <v>140</v>
      </c>
      <c r="B29" s="16" t="s">
        <v>136</v>
      </c>
      <c r="C29" s="34" t="n">
        <v>0</v>
      </c>
      <c r="D29" s="34" t="n">
        <v>-0.0025</v>
      </c>
      <c r="E29" s="34" t="n">
        <v>0.005</v>
      </c>
      <c r="F29" s="35" t="n">
        <f aca="false">INDEX($C29:$E29,$C$6)</f>
        <v>0</v>
      </c>
      <c r="G29" s="22" t="s">
        <v>141</v>
      </c>
    </row>
    <row r="31" customFormat="false" ht="15" hidden="false" customHeight="false" outlineLevel="0" collapsed="false">
      <c r="A31" s="9" t="s">
        <v>142</v>
      </c>
      <c r="B31" s="10"/>
      <c r="C31" s="10"/>
      <c r="D31" s="10"/>
      <c r="E31" s="10"/>
      <c r="F31" s="10"/>
      <c r="G31" s="10"/>
    </row>
    <row r="32" customFormat="false" ht="15" hidden="false" customHeight="true" outlineLevel="0" collapsed="false">
      <c r="A32" s="5" t="s">
        <v>82</v>
      </c>
      <c r="B32" s="36" t="s">
        <v>143</v>
      </c>
      <c r="C32" s="36"/>
      <c r="D32" s="36"/>
      <c r="E32" s="36"/>
      <c r="F32" s="36"/>
      <c r="G32" s="36"/>
    </row>
    <row r="33" customFormat="false" ht="15" hidden="false" customHeight="true" outlineLevel="0" collapsed="false">
      <c r="A33" s="5" t="s">
        <v>91</v>
      </c>
      <c r="B33" s="36" t="s">
        <v>144</v>
      </c>
      <c r="C33" s="36"/>
      <c r="D33" s="36"/>
      <c r="E33" s="36"/>
      <c r="F33" s="36"/>
      <c r="G33" s="36"/>
    </row>
    <row r="34" customFormat="false" ht="15" hidden="false" customHeight="true" outlineLevel="0" collapsed="false">
      <c r="A34" s="5" t="s">
        <v>92</v>
      </c>
      <c r="B34" s="36" t="s">
        <v>145</v>
      </c>
      <c r="C34" s="36"/>
      <c r="D34" s="36"/>
      <c r="E34" s="36"/>
      <c r="F34" s="36"/>
      <c r="G34" s="36"/>
    </row>
    <row r="36" customFormat="false" ht="15" hidden="false" customHeight="false" outlineLevel="0" collapsed="false">
      <c r="A36" s="9" t="s">
        <v>146</v>
      </c>
      <c r="B36" s="10"/>
      <c r="C36" s="10"/>
      <c r="D36" s="10"/>
      <c r="E36" s="10"/>
      <c r="F36" s="10"/>
      <c r="G36" s="10"/>
    </row>
    <row r="37" customFormat="false" ht="25.5" hidden="false" customHeight="true" outlineLevel="0" collapsed="false">
      <c r="A37" s="36" t="s">
        <v>147</v>
      </c>
      <c r="B37" s="36"/>
      <c r="C37" s="36"/>
      <c r="D37" s="36"/>
      <c r="E37" s="36"/>
      <c r="F37" s="36"/>
      <c r="G37" s="36"/>
    </row>
    <row r="38" customFormat="false" ht="25.5" hidden="false" customHeight="true" outlineLevel="0" collapsed="false">
      <c r="A38" s="36" t="s">
        <v>148</v>
      </c>
      <c r="B38" s="36"/>
      <c r="C38" s="36"/>
      <c r="D38" s="36"/>
      <c r="E38" s="36"/>
      <c r="F38" s="36"/>
      <c r="G38" s="36"/>
    </row>
    <row r="39" customFormat="false" ht="25.5" hidden="false" customHeight="true" outlineLevel="0" collapsed="false">
      <c r="A39" s="36" t="s">
        <v>149</v>
      </c>
      <c r="B39" s="36"/>
      <c r="C39" s="36"/>
      <c r="D39" s="36"/>
      <c r="E39" s="36"/>
      <c r="F39" s="36"/>
      <c r="G39" s="36"/>
    </row>
    <row r="40" customFormat="false" ht="25.5" hidden="false" customHeight="true" outlineLevel="0" collapsed="false">
      <c r="A40" s="36" t="s">
        <v>150</v>
      </c>
      <c r="B40" s="36"/>
      <c r="C40" s="36"/>
      <c r="D40" s="36"/>
      <c r="E40" s="36"/>
      <c r="F40" s="36"/>
      <c r="G40" s="36"/>
    </row>
    <row r="41" customFormat="false" ht="25.5" hidden="false" customHeight="true" outlineLevel="0" collapsed="false">
      <c r="A41" s="36" t="s">
        <v>151</v>
      </c>
      <c r="B41" s="36"/>
      <c r="C41" s="36"/>
      <c r="D41" s="36"/>
      <c r="E41" s="36"/>
      <c r="F41" s="36"/>
      <c r="G41" s="36"/>
    </row>
  </sheetData>
  <mergeCells count="10">
    <mergeCell ref="C11:E11"/>
    <mergeCell ref="C12:E12"/>
    <mergeCell ref="B32:G32"/>
    <mergeCell ref="B33:G33"/>
    <mergeCell ref="B34:G34"/>
    <mergeCell ref="A37:G37"/>
    <mergeCell ref="A38:G38"/>
    <mergeCell ref="A39:G39"/>
    <mergeCell ref="A40:G40"/>
    <mergeCell ref="A41:G41"/>
  </mergeCells>
  <dataValidations count="4">
    <dataValidation allowBlank="false" error="Choose Base, Upside or Downside." errorStyle="stop" errorTitle="Scenario" operator="between" showDropDown="false" showErrorMessage="true" showInputMessage="false" sqref="C5" type="list">
      <formula1>"Base,Upside,Downside"</formula1>
      <formula2>0</formula2>
    </dataValidation>
    <dataValidation allowBlank="false" error="Enter a rate between 0% and 100%." errorStyle="stop" errorTitle="Percentage input" operator="between" showDropDown="false" showErrorMessage="true" showInputMessage="false" sqref="C19:E19 C21:E21" type="decimal">
      <formula1>0</formula1>
      <formula2>1</formula2>
    </dataValidation>
    <dataValidation allowBlank="false" error="Enter a value of zero or more." errorStyle="stop" errorTitle="Non-negative input" operator="greaterThanOrEqual" showDropDown="false" showErrorMessage="true" showInputMessage="false" sqref="C14:C16 C20:E20 C22:E24" type="decimal">
      <formula1>0</formula1>
      <formula2>0</formula2>
    </dataValidation>
    <dataValidation allowBlank="false" error="Enter a monthly rate between -50% and +50%." errorStyle="stop" errorTitle="Growth rate" operator="between" showDropDown="false" showErrorMessage="true" showInputMessage="false" sqref="C27:E29" type="decimal">
      <formula1>-0.5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P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14" min="3" style="0" width="12"/>
    <col collapsed="false" customWidth="true" hidden="false" outlineLevel="0" max="15" min="15" style="0" width="14"/>
    <col collapsed="false" customWidth="true" hidden="false" outlineLevel="0" max="16" min="16" style="0" width="40"/>
  </cols>
  <sheetData>
    <row r="1" customFormat="false" ht="25.5" hidden="false" customHeight="true" outlineLevel="0" collapsed="false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6" t="str">
        <f aca="false">"Route: "&amp;Assumptions!$F$11&amp;"   |   Aircraft: "&amp;Assumptions!$F$12&amp;"   |   Active scenario: "&amp;Assumptions!$C$5</f>
        <v>Route: Route A: Downtown - Airport   |   Aircraft: Piloted eVTOL air taxi   |   Active scenario: Base</v>
      </c>
    </row>
    <row r="6" customFormat="false" ht="19.5" hidden="false" customHeight="true" outlineLevel="0" collapsed="false">
      <c r="A6" s="18" t="s">
        <v>154</v>
      </c>
      <c r="B6" s="19" t="s">
        <v>90</v>
      </c>
      <c r="C6" s="19" t="s">
        <v>155</v>
      </c>
      <c r="D6" s="19" t="s">
        <v>156</v>
      </c>
      <c r="E6" s="19" t="s">
        <v>157</v>
      </c>
      <c r="F6" s="19" t="s">
        <v>158</v>
      </c>
      <c r="G6" s="19" t="s">
        <v>159</v>
      </c>
      <c r="H6" s="19" t="s">
        <v>160</v>
      </c>
      <c r="I6" s="19" t="s">
        <v>161</v>
      </c>
      <c r="J6" s="19" t="s">
        <v>162</v>
      </c>
      <c r="K6" s="19" t="s">
        <v>163</v>
      </c>
      <c r="L6" s="19" t="s">
        <v>164</v>
      </c>
      <c r="M6" s="19" t="s">
        <v>165</v>
      </c>
      <c r="N6" s="19" t="s">
        <v>166</v>
      </c>
      <c r="O6" s="19" t="s">
        <v>167</v>
      </c>
      <c r="P6" s="19" t="s">
        <v>168</v>
      </c>
    </row>
    <row r="7" customFormat="false" ht="15" hidden="false" customHeight="false" outlineLevel="0" collapsed="false">
      <c r="A7" s="37" t="s">
        <v>169</v>
      </c>
      <c r="B7" s="38" t="s">
        <v>170</v>
      </c>
      <c r="C7" s="39" t="n">
        <v>1</v>
      </c>
      <c r="D7" s="39" t="n">
        <f aca="false">C7+1</f>
        <v>2</v>
      </c>
      <c r="E7" s="39" t="n">
        <f aca="false">D7+1</f>
        <v>3</v>
      </c>
      <c r="F7" s="39" t="n">
        <f aca="false">E7+1</f>
        <v>4</v>
      </c>
      <c r="G7" s="39" t="n">
        <f aca="false">F7+1</f>
        <v>5</v>
      </c>
      <c r="H7" s="39" t="n">
        <f aca="false">G7+1</f>
        <v>6</v>
      </c>
      <c r="I7" s="39" t="n">
        <f aca="false">H7+1</f>
        <v>7</v>
      </c>
      <c r="J7" s="39" t="n">
        <f aca="false">I7+1</f>
        <v>8</v>
      </c>
      <c r="K7" s="39" t="n">
        <f aca="false">J7+1</f>
        <v>9</v>
      </c>
      <c r="L7" s="39" t="n">
        <f aca="false">K7+1</f>
        <v>10</v>
      </c>
      <c r="M7" s="39" t="n">
        <f aca="false">L7+1</f>
        <v>11</v>
      </c>
      <c r="N7" s="39" t="n">
        <f aca="false">M7+1</f>
        <v>12</v>
      </c>
      <c r="O7" s="38"/>
      <c r="P7" s="38"/>
    </row>
    <row r="8" customFormat="false" ht="15" hidden="false" customHeight="false" outlineLevel="0" collapsed="false">
      <c r="A8" s="37" t="s">
        <v>171</v>
      </c>
      <c r="B8" s="38" t="s">
        <v>172</v>
      </c>
      <c r="C8" s="40" t="n">
        <f aca="false">EDATE(Assumptions!$F$13,C$7-1)</f>
        <v>46388</v>
      </c>
      <c r="D8" s="40" t="n">
        <f aca="false">EDATE(Assumptions!$F$13,D$7-1)</f>
        <v>46419</v>
      </c>
      <c r="E8" s="40" t="n">
        <f aca="false">EDATE(Assumptions!$F$13,E$7-1)</f>
        <v>46447</v>
      </c>
      <c r="F8" s="40" t="n">
        <f aca="false">EDATE(Assumptions!$F$13,F$7-1)</f>
        <v>46478</v>
      </c>
      <c r="G8" s="40" t="n">
        <f aca="false">EDATE(Assumptions!$F$13,G$7-1)</f>
        <v>46508</v>
      </c>
      <c r="H8" s="40" t="n">
        <f aca="false">EDATE(Assumptions!$F$13,H$7-1)</f>
        <v>46539</v>
      </c>
      <c r="I8" s="40" t="n">
        <f aca="false">EDATE(Assumptions!$F$13,I$7-1)</f>
        <v>46569</v>
      </c>
      <c r="J8" s="40" t="n">
        <f aca="false">EDATE(Assumptions!$F$13,J$7-1)</f>
        <v>46600</v>
      </c>
      <c r="K8" s="40" t="n">
        <f aca="false">EDATE(Assumptions!$F$13,K$7-1)</f>
        <v>46631</v>
      </c>
      <c r="L8" s="40" t="n">
        <f aca="false">EDATE(Assumptions!$F$13,L$7-1)</f>
        <v>46661</v>
      </c>
      <c r="M8" s="40" t="n">
        <f aca="false">EDATE(Assumptions!$F$13,M$7-1)</f>
        <v>46692</v>
      </c>
      <c r="N8" s="40" t="n">
        <f aca="false">EDATE(Assumptions!$F$13,N$7-1)</f>
        <v>46722</v>
      </c>
      <c r="O8" s="38"/>
      <c r="P8" s="38"/>
    </row>
    <row r="10" customFormat="false" ht="15" hidden="false" customHeight="false" outlineLevel="0" collapsed="false">
      <c r="A10" s="9" t="s">
        <v>173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5" hidden="false" customHeight="false" outlineLevel="0" collapsed="false">
      <c r="A11" s="16" t="s">
        <v>174</v>
      </c>
      <c r="B11" s="14" t="s">
        <v>175</v>
      </c>
      <c r="C11" s="41" t="n">
        <f aca="false">Assumptions!$F$16</f>
        <v>28</v>
      </c>
      <c r="D11" s="41" t="n">
        <f aca="false">Assumptions!$F$16</f>
        <v>28</v>
      </c>
      <c r="E11" s="41" t="n">
        <f aca="false">Assumptions!$F$16</f>
        <v>28</v>
      </c>
      <c r="F11" s="41" t="n">
        <f aca="false">Assumptions!$F$16</f>
        <v>28</v>
      </c>
      <c r="G11" s="41" t="n">
        <f aca="false">Assumptions!$F$16</f>
        <v>28</v>
      </c>
      <c r="H11" s="41" t="n">
        <f aca="false">Assumptions!$F$16</f>
        <v>28</v>
      </c>
      <c r="I11" s="41" t="n">
        <f aca="false">Assumptions!$F$16</f>
        <v>28</v>
      </c>
      <c r="J11" s="41" t="n">
        <f aca="false">Assumptions!$F$16</f>
        <v>28</v>
      </c>
      <c r="K11" s="41" t="n">
        <f aca="false">Assumptions!$F$16</f>
        <v>28</v>
      </c>
      <c r="L11" s="41" t="n">
        <f aca="false">Assumptions!$F$16</f>
        <v>28</v>
      </c>
      <c r="M11" s="41" t="n">
        <f aca="false">Assumptions!$F$16</f>
        <v>28</v>
      </c>
      <c r="N11" s="41" t="n">
        <f aca="false">Assumptions!$F$16</f>
        <v>28</v>
      </c>
      <c r="O11" s="42" t="n">
        <f aca="false">SUM(C11:N11)</f>
        <v>336</v>
      </c>
      <c r="P11" s="43" t="s">
        <v>176</v>
      </c>
    </row>
    <row r="12" customFormat="false" ht="15" hidden="false" customHeight="false" outlineLevel="0" collapsed="false">
      <c r="A12" s="16" t="s">
        <v>110</v>
      </c>
      <c r="B12" s="14" t="s">
        <v>111</v>
      </c>
      <c r="C12" s="41" t="n">
        <f aca="false">Assumptions!$F$15</f>
        <v>32</v>
      </c>
      <c r="D12" s="41" t="n">
        <f aca="false">Assumptions!$F$15</f>
        <v>32</v>
      </c>
      <c r="E12" s="41" t="n">
        <f aca="false">Assumptions!$F$15</f>
        <v>32</v>
      </c>
      <c r="F12" s="41" t="n">
        <f aca="false">Assumptions!$F$15</f>
        <v>32</v>
      </c>
      <c r="G12" s="41" t="n">
        <f aca="false">Assumptions!$F$15</f>
        <v>32</v>
      </c>
      <c r="H12" s="41" t="n">
        <f aca="false">Assumptions!$F$15</f>
        <v>32</v>
      </c>
      <c r="I12" s="41" t="n">
        <f aca="false">Assumptions!$F$15</f>
        <v>32</v>
      </c>
      <c r="J12" s="41" t="n">
        <f aca="false">Assumptions!$F$15</f>
        <v>32</v>
      </c>
      <c r="K12" s="41" t="n">
        <f aca="false">Assumptions!$F$15</f>
        <v>32</v>
      </c>
      <c r="L12" s="41" t="n">
        <f aca="false">Assumptions!$F$15</f>
        <v>32</v>
      </c>
      <c r="M12" s="41" t="n">
        <f aca="false">Assumptions!$F$15</f>
        <v>32</v>
      </c>
      <c r="N12" s="41" t="n">
        <f aca="false">Assumptions!$F$15</f>
        <v>32</v>
      </c>
      <c r="O12" s="44" t="n">
        <f aca="false">IF(O11=0,"n.m.",O22/O11)</f>
        <v>32</v>
      </c>
      <c r="P12" s="43" t="s">
        <v>177</v>
      </c>
    </row>
    <row r="13" customFormat="false" ht="15" hidden="false" customHeight="false" outlineLevel="0" collapsed="false">
      <c r="A13" s="16" t="s">
        <v>178</v>
      </c>
      <c r="B13" s="14" t="s">
        <v>179</v>
      </c>
      <c r="C13" s="45" t="n">
        <f aca="false">(1+Assumptions!$F$27)^(C$7-1)</f>
        <v>1</v>
      </c>
      <c r="D13" s="45" t="n">
        <f aca="false">(1+Assumptions!$F$27)^(D$7-1)</f>
        <v>1</v>
      </c>
      <c r="E13" s="45" t="n">
        <f aca="false">(1+Assumptions!$F$27)^(E$7-1)</f>
        <v>1</v>
      </c>
      <c r="F13" s="45" t="n">
        <f aca="false">(1+Assumptions!$F$27)^(F$7-1)</f>
        <v>1</v>
      </c>
      <c r="G13" s="45" t="n">
        <f aca="false">(1+Assumptions!$F$27)^(G$7-1)</f>
        <v>1</v>
      </c>
      <c r="H13" s="45" t="n">
        <f aca="false">(1+Assumptions!$F$27)^(H$7-1)</f>
        <v>1</v>
      </c>
      <c r="I13" s="45" t="n">
        <f aca="false">(1+Assumptions!$F$27)^(I$7-1)</f>
        <v>1</v>
      </c>
      <c r="J13" s="45" t="n">
        <f aca="false">(1+Assumptions!$F$27)^(J$7-1)</f>
        <v>1</v>
      </c>
      <c r="K13" s="45" t="n">
        <f aca="false">(1+Assumptions!$F$27)^(K$7-1)</f>
        <v>1</v>
      </c>
      <c r="L13" s="45" t="n">
        <f aca="false">(1+Assumptions!$F$27)^(L$7-1)</f>
        <v>1</v>
      </c>
      <c r="M13" s="45" t="n">
        <f aca="false">(1+Assumptions!$F$27)^(M$7-1)</f>
        <v>1</v>
      </c>
      <c r="N13" s="45" t="n">
        <f aca="false">(1+Assumptions!$F$27)^(N$7-1)</f>
        <v>1</v>
      </c>
      <c r="O13" s="46"/>
      <c r="P13" s="43"/>
    </row>
    <row r="14" customFormat="false" ht="15" hidden="false" customHeight="false" outlineLevel="0" collapsed="false">
      <c r="A14" s="16" t="s">
        <v>180</v>
      </c>
      <c r="B14" s="14" t="s">
        <v>179</v>
      </c>
      <c r="C14" s="45" t="n">
        <f aca="false">(1+Assumptions!$F$28)^(C$7-1)</f>
        <v>1</v>
      </c>
      <c r="D14" s="45" t="n">
        <f aca="false">(1+Assumptions!$F$28)^(D$7-1)</f>
        <v>1.015</v>
      </c>
      <c r="E14" s="45" t="n">
        <f aca="false">(1+Assumptions!$F$28)^(E$7-1)</f>
        <v>1.030225</v>
      </c>
      <c r="F14" s="45" t="n">
        <f aca="false">(1+Assumptions!$F$28)^(F$7-1)</f>
        <v>1.045678375</v>
      </c>
      <c r="G14" s="45" t="n">
        <f aca="false">(1+Assumptions!$F$28)^(G$7-1)</f>
        <v>1.061363550625</v>
      </c>
      <c r="H14" s="45" t="n">
        <f aca="false">(1+Assumptions!$F$28)^(H$7-1)</f>
        <v>1.07728400388437</v>
      </c>
      <c r="I14" s="45" t="n">
        <f aca="false">(1+Assumptions!$F$28)^(I$7-1)</f>
        <v>1.09344326394264</v>
      </c>
      <c r="J14" s="45" t="n">
        <f aca="false">(1+Assumptions!$F$28)^(J$7-1)</f>
        <v>1.10984491290178</v>
      </c>
      <c r="K14" s="45" t="n">
        <f aca="false">(1+Assumptions!$F$28)^(K$7-1)</f>
        <v>1.12649258659531</v>
      </c>
      <c r="L14" s="45" t="n">
        <f aca="false">(1+Assumptions!$F$28)^(L$7-1)</f>
        <v>1.14338997539424</v>
      </c>
      <c r="M14" s="45" t="n">
        <f aca="false">(1+Assumptions!$F$28)^(M$7-1)</f>
        <v>1.16054082502515</v>
      </c>
      <c r="N14" s="45" t="n">
        <f aca="false">(1+Assumptions!$F$28)^(N$7-1)</f>
        <v>1.17794893740053</v>
      </c>
      <c r="O14" s="46"/>
      <c r="P14" s="43"/>
    </row>
    <row r="15" customFormat="false" ht="15" hidden="false" customHeight="false" outlineLevel="0" collapsed="false">
      <c r="A15" s="16" t="s">
        <v>181</v>
      </c>
      <c r="B15" s="14" t="s">
        <v>179</v>
      </c>
      <c r="C15" s="45" t="n">
        <f aca="false">(1+Assumptions!$F$29)^(C$7-1)</f>
        <v>1</v>
      </c>
      <c r="D15" s="45" t="n">
        <f aca="false">(1+Assumptions!$F$29)^(D$7-1)</f>
        <v>1</v>
      </c>
      <c r="E15" s="45" t="n">
        <f aca="false">(1+Assumptions!$F$29)^(E$7-1)</f>
        <v>1</v>
      </c>
      <c r="F15" s="45" t="n">
        <f aca="false">(1+Assumptions!$F$29)^(F$7-1)</f>
        <v>1</v>
      </c>
      <c r="G15" s="45" t="n">
        <f aca="false">(1+Assumptions!$F$29)^(G$7-1)</f>
        <v>1</v>
      </c>
      <c r="H15" s="45" t="n">
        <f aca="false">(1+Assumptions!$F$29)^(H$7-1)</f>
        <v>1</v>
      </c>
      <c r="I15" s="45" t="n">
        <f aca="false">(1+Assumptions!$F$29)^(I$7-1)</f>
        <v>1</v>
      </c>
      <c r="J15" s="45" t="n">
        <f aca="false">(1+Assumptions!$F$29)^(J$7-1)</f>
        <v>1</v>
      </c>
      <c r="K15" s="45" t="n">
        <f aca="false">(1+Assumptions!$F$29)^(K$7-1)</f>
        <v>1</v>
      </c>
      <c r="L15" s="45" t="n">
        <f aca="false">(1+Assumptions!$F$29)^(L$7-1)</f>
        <v>1</v>
      </c>
      <c r="M15" s="45" t="n">
        <f aca="false">(1+Assumptions!$F$29)^(M$7-1)</f>
        <v>1</v>
      </c>
      <c r="N15" s="45" t="n">
        <f aca="false">(1+Assumptions!$F$29)^(N$7-1)</f>
        <v>1</v>
      </c>
      <c r="O15" s="46"/>
      <c r="P15" s="43"/>
    </row>
    <row r="16" customFormat="false" ht="15" hidden="false" customHeight="false" outlineLevel="0" collapsed="false">
      <c r="A16" s="16" t="s">
        <v>117</v>
      </c>
      <c r="B16" s="14" t="s">
        <v>118</v>
      </c>
      <c r="C16" s="47" t="n">
        <f aca="false">Assumptions!$F$19</f>
        <v>0.95</v>
      </c>
      <c r="D16" s="47" t="n">
        <f aca="false">Assumptions!$F$19</f>
        <v>0.95</v>
      </c>
      <c r="E16" s="47" t="n">
        <f aca="false">Assumptions!$F$19</f>
        <v>0.95</v>
      </c>
      <c r="F16" s="47" t="n">
        <f aca="false">Assumptions!$F$19</f>
        <v>0.95</v>
      </c>
      <c r="G16" s="47" t="n">
        <f aca="false">Assumptions!$F$19</f>
        <v>0.95</v>
      </c>
      <c r="H16" s="47" t="n">
        <f aca="false">Assumptions!$F$19</f>
        <v>0.95</v>
      </c>
      <c r="I16" s="47" t="n">
        <f aca="false">Assumptions!$F$19</f>
        <v>0.95</v>
      </c>
      <c r="J16" s="47" t="n">
        <f aca="false">Assumptions!$F$19</f>
        <v>0.95</v>
      </c>
      <c r="K16" s="47" t="n">
        <f aca="false">Assumptions!$F$19</f>
        <v>0.95</v>
      </c>
      <c r="L16" s="47" t="n">
        <f aca="false">Assumptions!$F$19</f>
        <v>0.95</v>
      </c>
      <c r="M16" s="47" t="n">
        <f aca="false">Assumptions!$F$19</f>
        <v>0.95</v>
      </c>
      <c r="N16" s="47" t="n">
        <f aca="false">Assumptions!$F$19</f>
        <v>0.95</v>
      </c>
      <c r="O16" s="29" t="n">
        <f aca="false">IF(O22=0,"n.m.",O23/O22)</f>
        <v>0.95</v>
      </c>
      <c r="P16" s="43" t="s">
        <v>182</v>
      </c>
    </row>
    <row r="17" customFormat="false" ht="15" hidden="false" customHeight="false" outlineLevel="0" collapsed="false">
      <c r="A17" s="16" t="s">
        <v>183</v>
      </c>
      <c r="B17" s="14" t="s">
        <v>124</v>
      </c>
      <c r="C17" s="48" t="n">
        <f aca="false">MIN(1,MAX(0,Assumptions!$F$21*C14))</f>
        <v>0.6</v>
      </c>
      <c r="D17" s="48" t="n">
        <f aca="false">MIN(1,MAX(0,Assumptions!$F$21*D14))</f>
        <v>0.609</v>
      </c>
      <c r="E17" s="48" t="n">
        <f aca="false">MIN(1,MAX(0,Assumptions!$F$21*E14))</f>
        <v>0.618135</v>
      </c>
      <c r="F17" s="48" t="n">
        <f aca="false">MIN(1,MAX(0,Assumptions!$F$21*F14))</f>
        <v>0.627407025</v>
      </c>
      <c r="G17" s="48" t="n">
        <f aca="false">MIN(1,MAX(0,Assumptions!$F$21*G14))</f>
        <v>0.636818130375</v>
      </c>
      <c r="H17" s="48" t="n">
        <f aca="false">MIN(1,MAX(0,Assumptions!$F$21*H14))</f>
        <v>0.646370402330625</v>
      </c>
      <c r="I17" s="48" t="n">
        <f aca="false">MIN(1,MAX(0,Assumptions!$F$21*I14))</f>
        <v>0.656065958365584</v>
      </c>
      <c r="J17" s="48" t="n">
        <f aca="false">MIN(1,MAX(0,Assumptions!$F$21*J14))</f>
        <v>0.665906947741068</v>
      </c>
      <c r="K17" s="48" t="n">
        <f aca="false">MIN(1,MAX(0,Assumptions!$F$21*K14))</f>
        <v>0.675895551957184</v>
      </c>
      <c r="L17" s="48" t="n">
        <f aca="false">MIN(1,MAX(0,Assumptions!$F$21*L14))</f>
        <v>0.686033985236541</v>
      </c>
      <c r="M17" s="48" t="n">
        <f aca="false">MIN(1,MAX(0,Assumptions!$F$21*M14))</f>
        <v>0.696324495015089</v>
      </c>
      <c r="N17" s="48" t="n">
        <f aca="false">MIN(1,MAX(0,Assumptions!$F$21*N14))</f>
        <v>0.706769362440316</v>
      </c>
      <c r="O17" s="29" t="n">
        <f aca="false">IF(O24=0,"n.m.",O25/O24)</f>
        <v>0.65206057153845</v>
      </c>
      <c r="P17" s="43" t="s">
        <v>184</v>
      </c>
    </row>
    <row r="18" customFormat="false" ht="15" hidden="false" customHeight="false" outlineLevel="0" collapsed="false">
      <c r="A18" s="16" t="s">
        <v>185</v>
      </c>
      <c r="B18" s="14" t="s">
        <v>186</v>
      </c>
      <c r="C18" s="49" t="n">
        <f aca="false">Assumptions!$F$22*C15</f>
        <v>300</v>
      </c>
      <c r="D18" s="49" t="n">
        <f aca="false">Assumptions!$F$22*D15</f>
        <v>300</v>
      </c>
      <c r="E18" s="49" t="n">
        <f aca="false">Assumptions!$F$22*E15</f>
        <v>300</v>
      </c>
      <c r="F18" s="49" t="n">
        <f aca="false">Assumptions!$F$22*F15</f>
        <v>300</v>
      </c>
      <c r="G18" s="49" t="n">
        <f aca="false">Assumptions!$F$22*G15</f>
        <v>300</v>
      </c>
      <c r="H18" s="49" t="n">
        <f aca="false">Assumptions!$F$22*H15</f>
        <v>300</v>
      </c>
      <c r="I18" s="49" t="n">
        <f aca="false">Assumptions!$F$22*I15</f>
        <v>300</v>
      </c>
      <c r="J18" s="49" t="n">
        <f aca="false">Assumptions!$F$22*J15</f>
        <v>300</v>
      </c>
      <c r="K18" s="49" t="n">
        <f aca="false">Assumptions!$F$22*K15</f>
        <v>300</v>
      </c>
      <c r="L18" s="49" t="n">
        <f aca="false">Assumptions!$F$22*L15</f>
        <v>300</v>
      </c>
      <c r="M18" s="49" t="n">
        <f aca="false">Assumptions!$F$22*M15</f>
        <v>300</v>
      </c>
      <c r="N18" s="49" t="n">
        <f aca="false">Assumptions!$F$22*N15</f>
        <v>300</v>
      </c>
      <c r="O18" s="31" t="n">
        <f aca="false">IF(O23=0,"n.m.",O30/O23)</f>
        <v>300</v>
      </c>
      <c r="P18" s="43" t="s">
        <v>187</v>
      </c>
    </row>
    <row r="19" customFormat="false" ht="15" hidden="false" customHeight="false" outlineLevel="0" collapsed="false">
      <c r="A19" s="16" t="s">
        <v>188</v>
      </c>
      <c r="B19" s="14" t="s">
        <v>121</v>
      </c>
      <c r="C19" s="49" t="n">
        <f aca="false">Assumptions!$F$23*C15</f>
        <v>12</v>
      </c>
      <c r="D19" s="49" t="n">
        <f aca="false">Assumptions!$F$23*D15</f>
        <v>12</v>
      </c>
      <c r="E19" s="49" t="n">
        <f aca="false">Assumptions!$F$23*E15</f>
        <v>12</v>
      </c>
      <c r="F19" s="49" t="n">
        <f aca="false">Assumptions!$F$23*F15</f>
        <v>12</v>
      </c>
      <c r="G19" s="49" t="n">
        <f aca="false">Assumptions!$F$23*G15</f>
        <v>12</v>
      </c>
      <c r="H19" s="49" t="n">
        <f aca="false">Assumptions!$F$23*H15</f>
        <v>12</v>
      </c>
      <c r="I19" s="49" t="n">
        <f aca="false">Assumptions!$F$23*I15</f>
        <v>12</v>
      </c>
      <c r="J19" s="49" t="n">
        <f aca="false">Assumptions!$F$23*J15</f>
        <v>12</v>
      </c>
      <c r="K19" s="49" t="n">
        <f aca="false">Assumptions!$F$23*K15</f>
        <v>12</v>
      </c>
      <c r="L19" s="49" t="n">
        <f aca="false">Assumptions!$F$23*L15</f>
        <v>12</v>
      </c>
      <c r="M19" s="49" t="n">
        <f aca="false">Assumptions!$F$23*M15</f>
        <v>12</v>
      </c>
      <c r="N19" s="49" t="n">
        <f aca="false">Assumptions!$F$23*N15</f>
        <v>12</v>
      </c>
      <c r="O19" s="31" t="n">
        <f aca="false">IF(O25=0,"n.m.",O31/O25)</f>
        <v>12</v>
      </c>
      <c r="P19" s="43" t="s">
        <v>189</v>
      </c>
    </row>
    <row r="21" customFormat="false" ht="15" hidden="false" customHeight="false" outlineLevel="0" collapsed="false">
      <c r="A21" s="9" t="s">
        <v>190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15" hidden="false" customHeight="false" outlineLevel="0" collapsed="false">
      <c r="A22" s="16" t="s">
        <v>45</v>
      </c>
      <c r="B22" s="14" t="s">
        <v>191</v>
      </c>
      <c r="C22" s="50" t="n">
        <f aca="false">C11*C12</f>
        <v>896</v>
      </c>
      <c r="D22" s="50" t="n">
        <f aca="false">D11*D12</f>
        <v>896</v>
      </c>
      <c r="E22" s="50" t="n">
        <f aca="false">E11*E12</f>
        <v>896</v>
      </c>
      <c r="F22" s="50" t="n">
        <f aca="false">F11*F12</f>
        <v>896</v>
      </c>
      <c r="G22" s="50" t="n">
        <f aca="false">G11*G12</f>
        <v>896</v>
      </c>
      <c r="H22" s="50" t="n">
        <f aca="false">H11*H12</f>
        <v>896</v>
      </c>
      <c r="I22" s="50" t="n">
        <f aca="false">I11*I12</f>
        <v>896</v>
      </c>
      <c r="J22" s="50" t="n">
        <f aca="false">J11*J12</f>
        <v>896</v>
      </c>
      <c r="K22" s="50" t="n">
        <f aca="false">K11*K12</f>
        <v>896</v>
      </c>
      <c r="L22" s="50" t="n">
        <f aca="false">L11*L12</f>
        <v>896</v>
      </c>
      <c r="M22" s="50" t="n">
        <f aca="false">M11*M12</f>
        <v>896</v>
      </c>
      <c r="N22" s="50" t="n">
        <f aca="false">N11*N12</f>
        <v>896</v>
      </c>
      <c r="O22" s="42" t="n">
        <f aca="false">SUM(C22:N22)</f>
        <v>10752</v>
      </c>
      <c r="P22" s="43" t="s">
        <v>176</v>
      </c>
    </row>
    <row r="23" customFormat="false" ht="15" hidden="false" customHeight="false" outlineLevel="0" collapsed="false">
      <c r="A23" s="16" t="s">
        <v>47</v>
      </c>
      <c r="B23" s="14" t="s">
        <v>191</v>
      </c>
      <c r="C23" s="50" t="n">
        <f aca="false">C22*C16</f>
        <v>851.2</v>
      </c>
      <c r="D23" s="50" t="n">
        <f aca="false">D22*D16</f>
        <v>851.2</v>
      </c>
      <c r="E23" s="50" t="n">
        <f aca="false">E22*E16</f>
        <v>851.2</v>
      </c>
      <c r="F23" s="50" t="n">
        <f aca="false">F22*F16</f>
        <v>851.2</v>
      </c>
      <c r="G23" s="50" t="n">
        <f aca="false">G22*G16</f>
        <v>851.2</v>
      </c>
      <c r="H23" s="50" t="n">
        <f aca="false">H22*H16</f>
        <v>851.2</v>
      </c>
      <c r="I23" s="50" t="n">
        <f aca="false">I22*I16</f>
        <v>851.2</v>
      </c>
      <c r="J23" s="50" t="n">
        <f aca="false">J22*J16</f>
        <v>851.2</v>
      </c>
      <c r="K23" s="50" t="n">
        <f aca="false">K22*K16</f>
        <v>851.2</v>
      </c>
      <c r="L23" s="50" t="n">
        <f aca="false">L22*L16</f>
        <v>851.2</v>
      </c>
      <c r="M23" s="50" t="n">
        <f aca="false">M22*M16</f>
        <v>851.2</v>
      </c>
      <c r="N23" s="50" t="n">
        <f aca="false">N22*N16</f>
        <v>851.2</v>
      </c>
      <c r="O23" s="42" t="n">
        <f aca="false">SUM(C23:N23)</f>
        <v>10214.4</v>
      </c>
      <c r="P23" s="43" t="s">
        <v>176</v>
      </c>
    </row>
    <row r="24" customFormat="false" ht="15" hidden="false" customHeight="false" outlineLevel="0" collapsed="false">
      <c r="A24" s="16" t="s">
        <v>192</v>
      </c>
      <c r="B24" s="14" t="s">
        <v>193</v>
      </c>
      <c r="C24" s="50" t="n">
        <f aca="false">C23*Assumptions!$F$14</f>
        <v>3404.8</v>
      </c>
      <c r="D24" s="50" t="n">
        <f aca="false">D23*Assumptions!$F$14</f>
        <v>3404.8</v>
      </c>
      <c r="E24" s="50" t="n">
        <f aca="false">E23*Assumptions!$F$14</f>
        <v>3404.8</v>
      </c>
      <c r="F24" s="50" t="n">
        <f aca="false">F23*Assumptions!$F$14</f>
        <v>3404.8</v>
      </c>
      <c r="G24" s="50" t="n">
        <f aca="false">G23*Assumptions!$F$14</f>
        <v>3404.8</v>
      </c>
      <c r="H24" s="50" t="n">
        <f aca="false">H23*Assumptions!$F$14</f>
        <v>3404.8</v>
      </c>
      <c r="I24" s="50" t="n">
        <f aca="false">I23*Assumptions!$F$14</f>
        <v>3404.8</v>
      </c>
      <c r="J24" s="50" t="n">
        <f aca="false">J23*Assumptions!$F$14</f>
        <v>3404.8</v>
      </c>
      <c r="K24" s="50" t="n">
        <f aca="false">K23*Assumptions!$F$14</f>
        <v>3404.8</v>
      </c>
      <c r="L24" s="50" t="n">
        <f aca="false">L23*Assumptions!$F$14</f>
        <v>3404.8</v>
      </c>
      <c r="M24" s="50" t="n">
        <f aca="false">M23*Assumptions!$F$14</f>
        <v>3404.8</v>
      </c>
      <c r="N24" s="50" t="n">
        <f aca="false">N23*Assumptions!$F$14</f>
        <v>3404.8</v>
      </c>
      <c r="O24" s="42" t="n">
        <f aca="false">SUM(C24:N24)</f>
        <v>40857.6</v>
      </c>
      <c r="P24" s="43" t="s">
        <v>176</v>
      </c>
    </row>
    <row r="25" customFormat="false" ht="15" hidden="false" customHeight="false" outlineLevel="0" collapsed="false">
      <c r="A25" s="5" t="s">
        <v>51</v>
      </c>
      <c r="B25" s="14" t="s">
        <v>194</v>
      </c>
      <c r="C25" s="51" t="n">
        <f aca="false">C24*C17</f>
        <v>2042.88</v>
      </c>
      <c r="D25" s="51" t="n">
        <f aca="false">D24*D17</f>
        <v>2073.5232</v>
      </c>
      <c r="E25" s="51" t="n">
        <f aca="false">E24*E17</f>
        <v>2104.626048</v>
      </c>
      <c r="F25" s="51" t="n">
        <f aca="false">F24*F17</f>
        <v>2136.19543872</v>
      </c>
      <c r="G25" s="51" t="n">
        <f aca="false">G24*G17</f>
        <v>2168.2383703008</v>
      </c>
      <c r="H25" s="51" t="n">
        <f aca="false">H24*H17</f>
        <v>2200.76194585531</v>
      </c>
      <c r="I25" s="51" t="n">
        <f aca="false">I24*I17</f>
        <v>2233.77337504314</v>
      </c>
      <c r="J25" s="51" t="n">
        <f aca="false">J24*J17</f>
        <v>2267.27997566879</v>
      </c>
      <c r="K25" s="51" t="n">
        <f aca="false">K24*K17</f>
        <v>2301.28917530382</v>
      </c>
      <c r="L25" s="51" t="n">
        <f aca="false">L24*L17</f>
        <v>2335.80851293338</v>
      </c>
      <c r="M25" s="51" t="n">
        <f aca="false">M24*M17</f>
        <v>2370.84564062738</v>
      </c>
      <c r="N25" s="51" t="n">
        <f aca="false">N24*N17</f>
        <v>2406.40832523679</v>
      </c>
      <c r="O25" s="42" t="n">
        <f aca="false">SUM(C25:N25)</f>
        <v>26641.6300076894</v>
      </c>
      <c r="P25" s="43" t="s">
        <v>176</v>
      </c>
    </row>
    <row r="27" customFormat="false" ht="15" hidden="false" customHeight="false" outlineLevel="0" collapsed="false">
      <c r="A27" s="9" t="s">
        <v>195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customFormat="false" ht="15" hidden="false" customHeight="false" outlineLevel="0" collapsed="false">
      <c r="A28" s="16" t="s">
        <v>196</v>
      </c>
      <c r="B28" s="14" t="s">
        <v>121</v>
      </c>
      <c r="C28" s="49" t="n">
        <f aca="false">Assumptions!$F$20*C13</f>
        <v>175</v>
      </c>
      <c r="D28" s="49" t="n">
        <f aca="false">Assumptions!$F$20*D13</f>
        <v>175</v>
      </c>
      <c r="E28" s="49" t="n">
        <f aca="false">Assumptions!$F$20*E13</f>
        <v>175</v>
      </c>
      <c r="F28" s="49" t="n">
        <f aca="false">Assumptions!$F$20*F13</f>
        <v>175</v>
      </c>
      <c r="G28" s="49" t="n">
        <f aca="false">Assumptions!$F$20*G13</f>
        <v>175</v>
      </c>
      <c r="H28" s="49" t="n">
        <f aca="false">Assumptions!$F$20*H13</f>
        <v>175</v>
      </c>
      <c r="I28" s="49" t="n">
        <f aca="false">Assumptions!$F$20*I13</f>
        <v>175</v>
      </c>
      <c r="J28" s="49" t="n">
        <f aca="false">Assumptions!$F$20*J13</f>
        <v>175</v>
      </c>
      <c r="K28" s="49" t="n">
        <f aca="false">Assumptions!$F$20*K13</f>
        <v>175</v>
      </c>
      <c r="L28" s="49" t="n">
        <f aca="false">Assumptions!$F$20*L13</f>
        <v>175</v>
      </c>
      <c r="M28" s="49" t="n">
        <f aca="false">Assumptions!$F$20*M13</f>
        <v>175</v>
      </c>
      <c r="N28" s="49" t="n">
        <f aca="false">Assumptions!$F$20*N13</f>
        <v>175</v>
      </c>
      <c r="O28" s="31" t="n">
        <f aca="false">IF(O25=0,"n.m.",O29/O25)</f>
        <v>175</v>
      </c>
      <c r="P28" s="43" t="s">
        <v>197</v>
      </c>
    </row>
    <row r="29" customFormat="false" ht="15" hidden="false" customHeight="false" outlineLevel="0" collapsed="false">
      <c r="A29" s="5" t="s">
        <v>53</v>
      </c>
      <c r="B29" s="14" t="s">
        <v>198</v>
      </c>
      <c r="C29" s="52" t="n">
        <f aca="false">C25*C28</f>
        <v>357504</v>
      </c>
      <c r="D29" s="52" t="n">
        <f aca="false">D25*D28</f>
        <v>362866.56</v>
      </c>
      <c r="E29" s="52" t="n">
        <f aca="false">E25*E28</f>
        <v>368309.5584</v>
      </c>
      <c r="F29" s="52" t="n">
        <f aca="false">F25*F28</f>
        <v>373834.201776</v>
      </c>
      <c r="G29" s="52" t="n">
        <f aca="false">G25*G28</f>
        <v>379441.71480264</v>
      </c>
      <c r="H29" s="52" t="n">
        <f aca="false">H25*H28</f>
        <v>385133.340524679</v>
      </c>
      <c r="I29" s="52" t="n">
        <f aca="false">I25*I28</f>
        <v>390910.34063255</v>
      </c>
      <c r="J29" s="52" t="n">
        <f aca="false">J25*J28</f>
        <v>396773.995742038</v>
      </c>
      <c r="K29" s="52" t="n">
        <f aca="false">K25*K28</f>
        <v>402725.605678168</v>
      </c>
      <c r="L29" s="52" t="n">
        <f aca="false">L25*L28</f>
        <v>408766.489763341</v>
      </c>
      <c r="M29" s="52" t="n">
        <f aca="false">M25*M28</f>
        <v>414897.987109791</v>
      </c>
      <c r="N29" s="52" t="n">
        <f aca="false">N25*N28</f>
        <v>421121.456916438</v>
      </c>
      <c r="O29" s="33" t="n">
        <f aca="false">SUM(C29:N29)</f>
        <v>4662285.25134564</v>
      </c>
      <c r="P29" s="43" t="s">
        <v>176</v>
      </c>
    </row>
    <row r="30" customFormat="false" ht="15" hidden="false" customHeight="false" outlineLevel="0" collapsed="false">
      <c r="A30" s="16" t="s">
        <v>199</v>
      </c>
      <c r="B30" s="14" t="s">
        <v>198</v>
      </c>
      <c r="C30" s="53" t="n">
        <f aca="false">C23*C18</f>
        <v>255360</v>
      </c>
      <c r="D30" s="53" t="n">
        <f aca="false">D23*D18</f>
        <v>255360</v>
      </c>
      <c r="E30" s="53" t="n">
        <f aca="false">E23*E18</f>
        <v>255360</v>
      </c>
      <c r="F30" s="53" t="n">
        <f aca="false">F23*F18</f>
        <v>255360</v>
      </c>
      <c r="G30" s="53" t="n">
        <f aca="false">G23*G18</f>
        <v>255360</v>
      </c>
      <c r="H30" s="53" t="n">
        <f aca="false">H23*H18</f>
        <v>255360</v>
      </c>
      <c r="I30" s="53" t="n">
        <f aca="false">I23*I18</f>
        <v>255360</v>
      </c>
      <c r="J30" s="53" t="n">
        <f aca="false">J23*J18</f>
        <v>255360</v>
      </c>
      <c r="K30" s="53" t="n">
        <f aca="false">K23*K18</f>
        <v>255360</v>
      </c>
      <c r="L30" s="53" t="n">
        <f aca="false">L23*L18</f>
        <v>255360</v>
      </c>
      <c r="M30" s="53" t="n">
        <f aca="false">M23*M18</f>
        <v>255360</v>
      </c>
      <c r="N30" s="53" t="n">
        <f aca="false">N23*N18</f>
        <v>255360</v>
      </c>
      <c r="O30" s="33" t="n">
        <f aca="false">SUM(C30:N30)</f>
        <v>3064320</v>
      </c>
      <c r="P30" s="43" t="s">
        <v>176</v>
      </c>
    </row>
    <row r="31" customFormat="false" ht="15" hidden="false" customHeight="false" outlineLevel="0" collapsed="false">
      <c r="A31" s="16" t="s">
        <v>57</v>
      </c>
      <c r="B31" s="14" t="s">
        <v>198</v>
      </c>
      <c r="C31" s="53" t="n">
        <f aca="false">C25*C19</f>
        <v>24514.56</v>
      </c>
      <c r="D31" s="53" t="n">
        <f aca="false">D25*D19</f>
        <v>24882.2784</v>
      </c>
      <c r="E31" s="53" t="n">
        <f aca="false">E25*E19</f>
        <v>25255.512576</v>
      </c>
      <c r="F31" s="53" t="n">
        <f aca="false">F25*F19</f>
        <v>25634.34526464</v>
      </c>
      <c r="G31" s="53" t="n">
        <f aca="false">G25*G19</f>
        <v>26018.8604436096</v>
      </c>
      <c r="H31" s="53" t="n">
        <f aca="false">H25*H19</f>
        <v>26409.1433502637</v>
      </c>
      <c r="I31" s="53" t="n">
        <f aca="false">I25*I19</f>
        <v>26805.2805005177</v>
      </c>
      <c r="J31" s="53" t="n">
        <f aca="false">J25*J19</f>
        <v>27207.3597080254</v>
      </c>
      <c r="K31" s="53" t="n">
        <f aca="false">K25*K19</f>
        <v>27615.4701036458</v>
      </c>
      <c r="L31" s="53" t="n">
        <f aca="false">L25*L19</f>
        <v>28029.7021552005</v>
      </c>
      <c r="M31" s="53" t="n">
        <f aca="false">M25*M19</f>
        <v>28450.1476875285</v>
      </c>
      <c r="N31" s="53" t="n">
        <f aca="false">N25*N19</f>
        <v>28876.8999028414</v>
      </c>
      <c r="O31" s="33" t="n">
        <f aca="false">SUM(C31:N31)</f>
        <v>319699.560092273</v>
      </c>
      <c r="P31" s="43" t="s">
        <v>176</v>
      </c>
    </row>
    <row r="32" customFormat="false" ht="15" hidden="false" customHeight="false" outlineLevel="0" collapsed="false">
      <c r="A32" s="16" t="s">
        <v>200</v>
      </c>
      <c r="B32" s="14" t="s">
        <v>198</v>
      </c>
      <c r="C32" s="54" t="n">
        <f aca="false">C30+C31</f>
        <v>279874.56</v>
      </c>
      <c r="D32" s="54" t="n">
        <f aca="false">D30+D31</f>
        <v>280242.2784</v>
      </c>
      <c r="E32" s="54" t="n">
        <f aca="false">E30+E31</f>
        <v>280615.512576</v>
      </c>
      <c r="F32" s="54" t="n">
        <f aca="false">F30+F31</f>
        <v>280994.34526464</v>
      </c>
      <c r="G32" s="54" t="n">
        <f aca="false">G30+G31</f>
        <v>281378.86044361</v>
      </c>
      <c r="H32" s="54" t="n">
        <f aca="false">H30+H31</f>
        <v>281769.143350264</v>
      </c>
      <c r="I32" s="54" t="n">
        <f aca="false">I30+I31</f>
        <v>282165.280500518</v>
      </c>
      <c r="J32" s="54" t="n">
        <f aca="false">J30+J31</f>
        <v>282567.359708025</v>
      </c>
      <c r="K32" s="54" t="n">
        <f aca="false">K30+K31</f>
        <v>282975.470103646</v>
      </c>
      <c r="L32" s="54" t="n">
        <f aca="false">L30+L31</f>
        <v>283389.702155201</v>
      </c>
      <c r="M32" s="54" t="n">
        <f aca="false">M30+M31</f>
        <v>283810.147687529</v>
      </c>
      <c r="N32" s="54" t="n">
        <f aca="false">N30+N31</f>
        <v>284236.899902841</v>
      </c>
      <c r="O32" s="55" t="n">
        <f aca="false">SUM(C32:N32)</f>
        <v>3384019.56009227</v>
      </c>
      <c r="P32" s="43" t="s">
        <v>176</v>
      </c>
    </row>
    <row r="33" customFormat="false" ht="15" hidden="false" customHeight="false" outlineLevel="0" collapsed="false">
      <c r="A33" s="5" t="s">
        <v>201</v>
      </c>
      <c r="B33" s="14" t="s">
        <v>198</v>
      </c>
      <c r="C33" s="52" t="n">
        <f aca="false">C29-C32</f>
        <v>77629.44</v>
      </c>
      <c r="D33" s="52" t="n">
        <f aca="false">D29-D32</f>
        <v>82624.2816</v>
      </c>
      <c r="E33" s="52" t="n">
        <f aca="false">E29-E32</f>
        <v>87694.0458239999</v>
      </c>
      <c r="F33" s="52" t="n">
        <f aca="false">F29-F32</f>
        <v>92839.8565113599</v>
      </c>
      <c r="G33" s="52" t="n">
        <f aca="false">G29-G32</f>
        <v>98062.8543590303</v>
      </c>
      <c r="H33" s="52" t="n">
        <f aca="false">H29-H32</f>
        <v>103364.197174416</v>
      </c>
      <c r="I33" s="52" t="n">
        <f aca="false">I29-I32</f>
        <v>108745.060132032</v>
      </c>
      <c r="J33" s="52" t="n">
        <f aca="false">J29-J32</f>
        <v>114206.636034012</v>
      </c>
      <c r="K33" s="52" t="n">
        <f aca="false">K29-K32</f>
        <v>119750.135574522</v>
      </c>
      <c r="L33" s="52" t="n">
        <f aca="false">L29-L32</f>
        <v>125376.78760814</v>
      </c>
      <c r="M33" s="52" t="n">
        <f aca="false">M29-M32</f>
        <v>131087.839422262</v>
      </c>
      <c r="N33" s="52" t="n">
        <f aca="false">N29-N32</f>
        <v>136884.557013596</v>
      </c>
      <c r="O33" s="33" t="n">
        <f aca="false">SUM(C33:N33)</f>
        <v>1278265.69125337</v>
      </c>
      <c r="P33" s="43" t="s">
        <v>176</v>
      </c>
    </row>
    <row r="34" customFormat="false" ht="15" hidden="false" customHeight="false" outlineLevel="0" collapsed="false">
      <c r="A34" s="16" t="s">
        <v>202</v>
      </c>
      <c r="B34" s="14" t="s">
        <v>203</v>
      </c>
      <c r="C34" s="48" t="n">
        <f aca="false">IF(C29=0,"n.m.",C33/C29)</f>
        <v>0.217142857142857</v>
      </c>
      <c r="D34" s="48" t="n">
        <f aca="false">IF(D29=0,"n.m.",D33/D29)</f>
        <v>0.227698803659395</v>
      </c>
      <c r="E34" s="48" t="n">
        <f aca="false">IF(E29=0,"n.m.",E33/E29)</f>
        <v>0.238098750966328</v>
      </c>
      <c r="F34" s="48" t="n">
        <f aca="false">IF(F29=0,"n.m.",F33/F29)</f>
        <v>0.248345004470696</v>
      </c>
      <c r="G34" s="48" t="n">
        <f aca="false">IF(G29=0,"n.m.",G33/G29)</f>
        <v>0.258439835509483</v>
      </c>
      <c r="H34" s="48" t="n">
        <f aca="false">IF(H29=0,"n.m.",H33/H29)</f>
        <v>0.268385481853114</v>
      </c>
      <c r="I34" s="48" t="n">
        <f aca="false">IF(I29=0,"n.m.",I33/I29)</f>
        <v>0.27818414820152</v>
      </c>
      <c r="J34" s="48" t="n">
        <f aca="false">IF(J29=0,"n.m.",J33/J29)</f>
        <v>0.287838006672856</v>
      </c>
      <c r="K34" s="48" t="n">
        <f aca="false">IF(K29=0,"n.m.",K33/K29)</f>
        <v>0.297349197285009</v>
      </c>
      <c r="L34" s="48" t="n">
        <f aca="false">IF(L29=0,"n.m.",L33/L29)</f>
        <v>0.306719828429988</v>
      </c>
      <c r="M34" s="48" t="n">
        <f aca="false">IF(M29=0,"n.m.",M33/M29)</f>
        <v>0.315951977341297</v>
      </c>
      <c r="N34" s="48" t="n">
        <f aca="false">IF(N29=0,"n.m.",N33/N29)</f>
        <v>0.325047690554409</v>
      </c>
      <c r="O34" s="29" t="n">
        <f aca="false">IF(O29=0,"n.m.",O33/O29)</f>
        <v>0.27417148937518</v>
      </c>
      <c r="P34" s="43" t="s">
        <v>204</v>
      </c>
    </row>
    <row r="35" customFormat="false" ht="15" hidden="false" customHeight="false" outlineLevel="0" collapsed="false">
      <c r="A35" s="16" t="s">
        <v>205</v>
      </c>
      <c r="B35" s="14" t="s">
        <v>186</v>
      </c>
      <c r="C35" s="49" t="n">
        <f aca="false">IF(C23=0,"n.m.",C33/C23)</f>
        <v>91.2</v>
      </c>
      <c r="D35" s="49" t="n">
        <f aca="false">IF(D23=0,"n.m.",D33/D23)</f>
        <v>97.068</v>
      </c>
      <c r="E35" s="49" t="n">
        <f aca="false">IF(E23=0,"n.m.",E33/E23)</f>
        <v>103.02402</v>
      </c>
      <c r="F35" s="49" t="n">
        <f aca="false">IF(F23=0,"n.m.",F33/F23)</f>
        <v>109.0693803</v>
      </c>
      <c r="G35" s="49" t="n">
        <f aca="false">IF(G23=0,"n.m.",G33/G23)</f>
        <v>115.2054210045</v>
      </c>
      <c r="H35" s="49" t="n">
        <f aca="false">IF(H23=0,"n.m.",H33/H23)</f>
        <v>121.433502319567</v>
      </c>
      <c r="I35" s="49" t="n">
        <f aca="false">IF(I23=0,"n.m.",I33/I23)</f>
        <v>127.755004854361</v>
      </c>
      <c r="J35" s="49" t="n">
        <f aca="false">IF(J23=0,"n.m.",J33/J23)</f>
        <v>134.171329927176</v>
      </c>
      <c r="K35" s="49" t="n">
        <f aca="false">IF(K23=0,"n.m.",K33/K23)</f>
        <v>140.683899876084</v>
      </c>
      <c r="L35" s="49" t="n">
        <f aca="false">IF(L23=0,"n.m.",L33/L23)</f>
        <v>147.294158374225</v>
      </c>
      <c r="M35" s="49" t="n">
        <f aca="false">IF(M23=0,"n.m.",M33/M23)</f>
        <v>154.003570749838</v>
      </c>
      <c r="N35" s="49" t="n">
        <f aca="false">IF(N23=0,"n.m.",N33/N23)</f>
        <v>160.813624311086</v>
      </c>
      <c r="O35" s="31" t="n">
        <f aca="false">IF(O23=0,"n.m.",O33/O23)</f>
        <v>125.14349264307</v>
      </c>
      <c r="P35" s="43" t="s">
        <v>206</v>
      </c>
    </row>
    <row r="36" customFormat="false" ht="15" hidden="false" customHeight="false" outlineLevel="0" collapsed="false">
      <c r="A36" s="16" t="s">
        <v>207</v>
      </c>
      <c r="B36" s="14" t="s">
        <v>198</v>
      </c>
      <c r="C36" s="53" t="n">
        <f aca="false">Assumptions!$F$24*C15</f>
        <v>90000</v>
      </c>
      <c r="D36" s="53" t="n">
        <f aca="false">Assumptions!$F$24*D15</f>
        <v>90000</v>
      </c>
      <c r="E36" s="53" t="n">
        <f aca="false">Assumptions!$F$24*E15</f>
        <v>90000</v>
      </c>
      <c r="F36" s="53" t="n">
        <f aca="false">Assumptions!$F$24*F15</f>
        <v>90000</v>
      </c>
      <c r="G36" s="53" t="n">
        <f aca="false">Assumptions!$F$24*G15</f>
        <v>90000</v>
      </c>
      <c r="H36" s="53" t="n">
        <f aca="false">Assumptions!$F$24*H15</f>
        <v>90000</v>
      </c>
      <c r="I36" s="53" t="n">
        <f aca="false">Assumptions!$F$24*I15</f>
        <v>90000</v>
      </c>
      <c r="J36" s="53" t="n">
        <f aca="false">Assumptions!$F$24*J15</f>
        <v>90000</v>
      </c>
      <c r="K36" s="53" t="n">
        <f aca="false">Assumptions!$F$24*K15</f>
        <v>90000</v>
      </c>
      <c r="L36" s="53" t="n">
        <f aca="false">Assumptions!$F$24*L15</f>
        <v>90000</v>
      </c>
      <c r="M36" s="53" t="n">
        <f aca="false">Assumptions!$F$24*M15</f>
        <v>90000</v>
      </c>
      <c r="N36" s="53" t="n">
        <f aca="false">Assumptions!$F$24*N15</f>
        <v>90000</v>
      </c>
      <c r="O36" s="33" t="n">
        <f aca="false">SUM(C36:N36)</f>
        <v>1080000</v>
      </c>
      <c r="P36" s="43" t="s">
        <v>176</v>
      </c>
    </row>
    <row r="37" customFormat="false" ht="15" hidden="false" customHeight="false" outlineLevel="0" collapsed="false">
      <c r="A37" s="5" t="s">
        <v>208</v>
      </c>
      <c r="B37" s="14" t="s">
        <v>198</v>
      </c>
      <c r="C37" s="56" t="n">
        <f aca="false">C33-C36</f>
        <v>-12370.56</v>
      </c>
      <c r="D37" s="56" t="n">
        <f aca="false">D33-D36</f>
        <v>-7375.71840000001</v>
      </c>
      <c r="E37" s="56" t="n">
        <f aca="false">E33-E36</f>
        <v>-2305.95417600009</v>
      </c>
      <c r="F37" s="56" t="n">
        <f aca="false">F33-F36</f>
        <v>2839.85651135986</v>
      </c>
      <c r="G37" s="56" t="n">
        <f aca="false">G33-G36</f>
        <v>8062.85435903032</v>
      </c>
      <c r="H37" s="56" t="n">
        <f aca="false">H33-H36</f>
        <v>13364.1971744157</v>
      </c>
      <c r="I37" s="56" t="n">
        <f aca="false">I33-I36</f>
        <v>18745.0601320319</v>
      </c>
      <c r="J37" s="56" t="n">
        <f aca="false">J33-J36</f>
        <v>24206.6360340124</v>
      </c>
      <c r="K37" s="56" t="n">
        <f aca="false">K33-K36</f>
        <v>29750.1355745225</v>
      </c>
      <c r="L37" s="56" t="n">
        <f aca="false">L33-L36</f>
        <v>35376.7876081403</v>
      </c>
      <c r="M37" s="56" t="n">
        <f aca="false">M33-M36</f>
        <v>41087.8394222623</v>
      </c>
      <c r="N37" s="56" t="n">
        <f aca="false">N33-N36</f>
        <v>46884.5570135962</v>
      </c>
      <c r="O37" s="57" t="n">
        <f aca="false">SUM(C37:N37)</f>
        <v>198265.691253371</v>
      </c>
      <c r="P37" s="43" t="s">
        <v>176</v>
      </c>
    </row>
    <row r="38" customFormat="false" ht="15" hidden="false" customHeight="false" outlineLevel="0" collapsed="false">
      <c r="A38" s="16" t="s">
        <v>209</v>
      </c>
      <c r="B38" s="14" t="s">
        <v>203</v>
      </c>
      <c r="C38" s="48" t="n">
        <f aca="false">IF(C29=0,"n.m.",C37/C29)</f>
        <v>-0.0346025778732546</v>
      </c>
      <c r="D38" s="48" t="n">
        <f aca="false">IF(D29=0,"n.m.",D37/D29)</f>
        <v>-0.0203262554697793</v>
      </c>
      <c r="E38" s="48" t="n">
        <f aca="false">IF(E29=0,"n.m.",E37/E29)</f>
        <v>-0.00626091320034579</v>
      </c>
      <c r="F38" s="48" t="n">
        <f aca="false">IF(F29=0,"n.m.",F37/F29)</f>
        <v>0.00759656686806172</v>
      </c>
      <c r="G38" s="48" t="n">
        <f aca="false">IF(G29=0,"n.m.",G37/G29)</f>
        <v>0.021249256590631</v>
      </c>
      <c r="H38" s="48" t="n">
        <f aca="false">IF(H29=0,"n.m.",H37/H29)</f>
        <v>0.0347001824256742</v>
      </c>
      <c r="I38" s="48" t="n">
        <f aca="false">IF(I29=0,"n.m.",I37/I29)</f>
        <v>0.0479523261055198</v>
      </c>
      <c r="J38" s="48" t="n">
        <f aca="false">IF(J29=0,"n.m.",J37/J29)</f>
        <v>0.0610086252974862</v>
      </c>
      <c r="K38" s="48" t="n">
        <f aca="false">IF(K29=0,"n.m.",K37/K29)</f>
        <v>0.0738719742550883</v>
      </c>
      <c r="L38" s="48" t="n">
        <f aca="false">IF(L29=0,"n.m.",L37/L29)</f>
        <v>0.0865452244596225</v>
      </c>
      <c r="M38" s="48" t="n">
        <f aca="false">IF(M29=0,"n.m.",M37/M29)</f>
        <v>0.0990311852522669</v>
      </c>
      <c r="N38" s="48" t="n">
        <f aca="false">IF(N29=0,"n.m.",N37/N29)</f>
        <v>0.111332624456843</v>
      </c>
      <c r="O38" s="29" t="n">
        <f aca="false">IF(O29=0,"n.m.",O37/O29)</f>
        <v>0.0425254313206484</v>
      </c>
      <c r="P38" s="43" t="s">
        <v>210</v>
      </c>
    </row>
    <row r="39" customFormat="false" ht="15" hidden="false" customHeight="false" outlineLevel="0" collapsed="false">
      <c r="A39" s="16" t="s">
        <v>211</v>
      </c>
      <c r="B39" s="14" t="s">
        <v>198</v>
      </c>
      <c r="C39" s="53" t="n">
        <f aca="false">C37</f>
        <v>-12370.56</v>
      </c>
      <c r="D39" s="53" t="n">
        <f aca="false">C39+D37</f>
        <v>-19746.2784</v>
      </c>
      <c r="E39" s="53" t="n">
        <f aca="false">D39+E37</f>
        <v>-22052.2325760001</v>
      </c>
      <c r="F39" s="53" t="n">
        <f aca="false">E39+F37</f>
        <v>-19212.3760646402</v>
      </c>
      <c r="G39" s="53" t="n">
        <f aca="false">F39+G37</f>
        <v>-11149.5217056099</v>
      </c>
      <c r="H39" s="53" t="n">
        <f aca="false">G39+H37</f>
        <v>2214.67546880577</v>
      </c>
      <c r="I39" s="53" t="n">
        <f aca="false">H39+I37</f>
        <v>20959.7356008376</v>
      </c>
      <c r="J39" s="53" t="n">
        <f aca="false">I39+J37</f>
        <v>45166.37163485</v>
      </c>
      <c r="K39" s="53" t="n">
        <f aca="false">J39+K37</f>
        <v>74916.5072093725</v>
      </c>
      <c r="L39" s="53" t="n">
        <f aca="false">K39+L37</f>
        <v>110293.294817513</v>
      </c>
      <c r="M39" s="53" t="n">
        <f aca="false">L39+M37</f>
        <v>151381.134239775</v>
      </c>
      <c r="N39" s="53" t="n">
        <f aca="false">M39+N37</f>
        <v>198265.691253371</v>
      </c>
      <c r="O39" s="33" t="n">
        <f aca="false">N39</f>
        <v>198265.691253371</v>
      </c>
      <c r="P39" s="43" t="s">
        <v>212</v>
      </c>
    </row>
    <row r="41" customFormat="false" ht="15" hidden="false" customHeight="false" outlineLevel="0" collapsed="false">
      <c r="A41" s="9" t="s">
        <v>213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customFormat="false" ht="15" hidden="false" customHeight="false" outlineLevel="0" collapsed="false">
      <c r="A42" s="16" t="s">
        <v>214</v>
      </c>
      <c r="B42" s="14" t="s">
        <v>121</v>
      </c>
      <c r="C42" s="49" t="n">
        <f aca="false">C28-C19</f>
        <v>163</v>
      </c>
      <c r="D42" s="49" t="n">
        <f aca="false">D28-D19</f>
        <v>163</v>
      </c>
      <c r="E42" s="49" t="n">
        <f aca="false">E28-E19</f>
        <v>163</v>
      </c>
      <c r="F42" s="49" t="n">
        <f aca="false">F28-F19</f>
        <v>163</v>
      </c>
      <c r="G42" s="49" t="n">
        <f aca="false">G28-G19</f>
        <v>163</v>
      </c>
      <c r="H42" s="49" t="n">
        <f aca="false">H28-H19</f>
        <v>163</v>
      </c>
      <c r="I42" s="49" t="n">
        <f aca="false">I28-I19</f>
        <v>163</v>
      </c>
      <c r="J42" s="49" t="n">
        <f aca="false">J28-J19</f>
        <v>163</v>
      </c>
      <c r="K42" s="49" t="n">
        <f aca="false">K28-K19</f>
        <v>163</v>
      </c>
      <c r="L42" s="49" t="n">
        <f aca="false">L28-L19</f>
        <v>163</v>
      </c>
      <c r="M42" s="49" t="n">
        <f aca="false">M28-M19</f>
        <v>163</v>
      </c>
      <c r="N42" s="49" t="n">
        <f aca="false">N28-N19</f>
        <v>163</v>
      </c>
      <c r="O42" s="31" t="n">
        <f aca="false">IF(O25=0,"n.m.",(O29-O31)/O25)</f>
        <v>163</v>
      </c>
      <c r="P42" s="43" t="s">
        <v>215</v>
      </c>
    </row>
    <row r="43" customFormat="false" ht="15" hidden="false" customHeight="false" outlineLevel="0" collapsed="false">
      <c r="A43" s="16" t="s">
        <v>216</v>
      </c>
      <c r="B43" s="14" t="s">
        <v>198</v>
      </c>
      <c r="C43" s="53" t="n">
        <f aca="false">C24*C42</f>
        <v>554982.4</v>
      </c>
      <c r="D43" s="53" t="n">
        <f aca="false">D24*D42</f>
        <v>554982.4</v>
      </c>
      <c r="E43" s="53" t="n">
        <f aca="false">E24*E42</f>
        <v>554982.4</v>
      </c>
      <c r="F43" s="53" t="n">
        <f aca="false">F24*F42</f>
        <v>554982.4</v>
      </c>
      <c r="G43" s="53" t="n">
        <f aca="false">G24*G42</f>
        <v>554982.4</v>
      </c>
      <c r="H43" s="53" t="n">
        <f aca="false">H24*H42</f>
        <v>554982.4</v>
      </c>
      <c r="I43" s="53" t="n">
        <f aca="false">I24*I42</f>
        <v>554982.4</v>
      </c>
      <c r="J43" s="53" t="n">
        <f aca="false">J24*J42</f>
        <v>554982.4</v>
      </c>
      <c r="K43" s="53" t="n">
        <f aca="false">K24*K42</f>
        <v>554982.4</v>
      </c>
      <c r="L43" s="53" t="n">
        <f aca="false">L24*L42</f>
        <v>554982.4</v>
      </c>
      <c r="M43" s="53" t="n">
        <f aca="false">M24*M42</f>
        <v>554982.4</v>
      </c>
      <c r="N43" s="53" t="n">
        <f aca="false">N24*N42</f>
        <v>554982.4</v>
      </c>
      <c r="O43" s="33" t="n">
        <f aca="false">SUM(C43:N43)</f>
        <v>6659788.8</v>
      </c>
      <c r="P43" s="43" t="s">
        <v>176</v>
      </c>
    </row>
    <row r="44" customFormat="false" ht="15" hidden="false" customHeight="false" outlineLevel="0" collapsed="false">
      <c r="A44" s="16" t="s">
        <v>217</v>
      </c>
      <c r="B44" s="14" t="s">
        <v>124</v>
      </c>
      <c r="C44" s="48" t="n">
        <f aca="false">IF(C43&gt;0,(C30)/C43,"n.m.")</f>
        <v>0.460122699386503</v>
      </c>
      <c r="D44" s="48" t="n">
        <f aca="false">IF(D43&gt;0,(D30)/D43,"n.m.")</f>
        <v>0.460122699386503</v>
      </c>
      <c r="E44" s="48" t="n">
        <f aca="false">IF(E43&gt;0,(E30)/E43,"n.m.")</f>
        <v>0.460122699386503</v>
      </c>
      <c r="F44" s="48" t="n">
        <f aca="false">IF(F43&gt;0,(F30)/F43,"n.m.")</f>
        <v>0.460122699386503</v>
      </c>
      <c r="G44" s="48" t="n">
        <f aca="false">IF(G43&gt;0,(G30)/G43,"n.m.")</f>
        <v>0.460122699386503</v>
      </c>
      <c r="H44" s="48" t="n">
        <f aca="false">IF(H43&gt;0,(H30)/H43,"n.m.")</f>
        <v>0.460122699386503</v>
      </c>
      <c r="I44" s="48" t="n">
        <f aca="false">IF(I43&gt;0,(I30)/I43,"n.m.")</f>
        <v>0.460122699386503</v>
      </c>
      <c r="J44" s="48" t="n">
        <f aca="false">IF(J43&gt;0,(J30)/J43,"n.m.")</f>
        <v>0.460122699386503</v>
      </c>
      <c r="K44" s="48" t="n">
        <f aca="false">IF(K43&gt;0,(K30)/K43,"n.m.")</f>
        <v>0.460122699386503</v>
      </c>
      <c r="L44" s="48" t="n">
        <f aca="false">IF(L43&gt;0,(L30)/L43,"n.m.")</f>
        <v>0.460122699386503</v>
      </c>
      <c r="M44" s="48" t="n">
        <f aca="false">IF(M43&gt;0,(M30)/M43,"n.m.")</f>
        <v>0.460122699386503</v>
      </c>
      <c r="N44" s="48" t="n">
        <f aca="false">IF(N43&gt;0,(N30)/N43,"n.m.")</f>
        <v>0.460122699386503</v>
      </c>
      <c r="O44" s="29" t="n">
        <f aca="false">IF(O43&gt;0,(O30)/O43,"n.m.")</f>
        <v>0.460122699386503</v>
      </c>
      <c r="P44" s="43" t="s">
        <v>218</v>
      </c>
    </row>
    <row r="45" customFormat="false" ht="15" hidden="false" customHeight="false" outlineLevel="0" collapsed="false">
      <c r="A45" s="5" t="s">
        <v>219</v>
      </c>
      <c r="B45" s="14" t="s">
        <v>124</v>
      </c>
      <c r="C45" s="58" t="n">
        <f aca="false">IF(C43&gt;0,(C30+C36)/C43,"n.m.")</f>
        <v>0.622290004151483</v>
      </c>
      <c r="D45" s="58" t="n">
        <f aca="false">IF(D43&gt;0,(D30+D36)/D43,"n.m.")</f>
        <v>0.622290004151483</v>
      </c>
      <c r="E45" s="58" t="n">
        <f aca="false">IF(E43&gt;0,(E30+E36)/E43,"n.m.")</f>
        <v>0.622290004151483</v>
      </c>
      <c r="F45" s="58" t="n">
        <f aca="false">IF(F43&gt;0,(F30+F36)/F43,"n.m.")</f>
        <v>0.622290004151483</v>
      </c>
      <c r="G45" s="58" t="n">
        <f aca="false">IF(G43&gt;0,(G30+G36)/G43,"n.m.")</f>
        <v>0.622290004151483</v>
      </c>
      <c r="H45" s="58" t="n">
        <f aca="false">IF(H43&gt;0,(H30+H36)/H43,"n.m.")</f>
        <v>0.622290004151483</v>
      </c>
      <c r="I45" s="58" t="n">
        <f aca="false">IF(I43&gt;0,(I30+I36)/I43,"n.m.")</f>
        <v>0.622290004151483</v>
      </c>
      <c r="J45" s="58" t="n">
        <f aca="false">IF(J43&gt;0,(J30+J36)/J43,"n.m.")</f>
        <v>0.622290004151483</v>
      </c>
      <c r="K45" s="58" t="n">
        <f aca="false">IF(K43&gt;0,(K30+K36)/K43,"n.m.")</f>
        <v>0.622290004151483</v>
      </c>
      <c r="L45" s="58" t="n">
        <f aca="false">IF(L43&gt;0,(L30+L36)/L43,"n.m.")</f>
        <v>0.622290004151483</v>
      </c>
      <c r="M45" s="58" t="n">
        <f aca="false">IF(M43&gt;0,(M30+M36)/M43,"n.m.")</f>
        <v>0.622290004151483</v>
      </c>
      <c r="N45" s="58" t="n">
        <f aca="false">IF(N43&gt;0,(N30+N36)/N43,"n.m.")</f>
        <v>0.622290004151483</v>
      </c>
      <c r="O45" s="29" t="n">
        <f aca="false">IF(O43&gt;0,(O30+O36)/O43,"n.m.")</f>
        <v>0.622290004151483</v>
      </c>
      <c r="P45" s="43" t="s">
        <v>220</v>
      </c>
    </row>
    <row r="46" customFormat="false" ht="15" hidden="false" customHeight="false" outlineLevel="0" collapsed="false">
      <c r="A46" s="16" t="s">
        <v>221</v>
      </c>
      <c r="B46" s="14" t="s">
        <v>222</v>
      </c>
      <c r="C46" s="48" t="n">
        <f aca="false">IF(ISNUMBER(C45),C17-C45,"n.m.")</f>
        <v>-0.0222900041514831</v>
      </c>
      <c r="D46" s="48" t="n">
        <f aca="false">IF(ISNUMBER(D45),D17-D45,"n.m.")</f>
        <v>-0.0132900041514832</v>
      </c>
      <c r="E46" s="48" t="n">
        <f aca="false">IF(ISNUMBER(E45),E17-E45,"n.m.")</f>
        <v>-0.00415500415148329</v>
      </c>
      <c r="F46" s="48" t="n">
        <f aca="false">IF(ISNUMBER(F45),F17-F45,"n.m.")</f>
        <v>0.00511702084851673</v>
      </c>
      <c r="G46" s="48" t="n">
        <f aca="false">IF(ISNUMBER(G45),G17-G45,"n.m.")</f>
        <v>0.0145281262235167</v>
      </c>
      <c r="H46" s="48" t="n">
        <f aca="false">IF(ISNUMBER(H45),H17-H45,"n.m.")</f>
        <v>0.0240803981791417</v>
      </c>
      <c r="I46" s="48" t="n">
        <f aca="false">IF(ISNUMBER(I45),I17-I45,"n.m.")</f>
        <v>0.0337759542141008</v>
      </c>
      <c r="J46" s="48" t="n">
        <f aca="false">IF(ISNUMBER(J45),J17-J45,"n.m.")</f>
        <v>0.0436169435895847</v>
      </c>
      <c r="K46" s="48" t="n">
        <f aca="false">IF(ISNUMBER(K45),K17-K45,"n.m.")</f>
        <v>0.0536055478057006</v>
      </c>
      <c r="L46" s="48" t="n">
        <f aca="false">IF(ISNUMBER(L45),L17-L45,"n.m.")</f>
        <v>0.0637439810850583</v>
      </c>
      <c r="M46" s="48" t="n">
        <f aca="false">IF(ISNUMBER(M45),M17-M45,"n.m.")</f>
        <v>0.0740344908636064</v>
      </c>
      <c r="N46" s="48" t="n">
        <f aca="false">IF(ISNUMBER(N45),N17-N45,"n.m.")</f>
        <v>0.0844793582888326</v>
      </c>
      <c r="O46" s="29" t="n">
        <f aca="false">IF(ISNUMBER(O45),O17-O45,"n.m.")</f>
        <v>0.0297705673869674</v>
      </c>
      <c r="P46" s="43" t="s">
        <v>223</v>
      </c>
    </row>
    <row r="47" customFormat="false" ht="27.75" hidden="false" customHeight="true" outlineLevel="0" collapsed="false">
      <c r="A47" s="59" t="s">
        <v>224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9" customFormat="false" ht="15" hidden="false" customHeight="false" outlineLevel="0" collapsed="false">
      <c r="A49" s="9" t="s">
        <v>225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customFormat="false" ht="15" hidden="false" customHeight="false" outlineLevel="0" collapsed="false">
      <c r="A50" s="60" t="s">
        <v>226</v>
      </c>
      <c r="B50" s="61"/>
      <c r="C50" s="60" t="s">
        <v>227</v>
      </c>
      <c r="D50" s="60" t="s">
        <v>228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</row>
    <row r="51" customFormat="false" ht="15" hidden="false" customHeight="false" outlineLevel="0" collapsed="false">
      <c r="A51" s="16" t="s">
        <v>229</v>
      </c>
      <c r="C51" s="62" t="str">
        <f aca="false">IF(ISNUMBER(Assumptions!$C$6),"PASS","FAIL")</f>
        <v>PASS</v>
      </c>
      <c r="D51" s="43" t="s">
        <v>230</v>
      </c>
    </row>
    <row r="52" customFormat="false" ht="15" hidden="false" customHeight="false" outlineLevel="0" collapsed="false">
      <c r="A52" s="16" t="s">
        <v>231</v>
      </c>
      <c r="C52" s="62" t="str">
        <f aca="false">IF(AND(MIN(Assumptions!$C$21:$E$21)&gt;=0,MAX(Assumptions!$C$21:$E$21)&lt;=1),"PASS","FAIL")</f>
        <v>PASS</v>
      </c>
      <c r="D52" s="43" t="s">
        <v>232</v>
      </c>
    </row>
    <row r="53" customFormat="false" ht="15" hidden="false" customHeight="false" outlineLevel="0" collapsed="false">
      <c r="A53" s="16" t="s">
        <v>233</v>
      </c>
      <c r="C53" s="62" t="str">
        <f aca="false">IF(AND(MIN(Assumptions!$C$19:$E$19)&gt;=0,MAX(Assumptions!$C$19:$E$19)&lt;=1),"PASS","FAIL")</f>
        <v>PASS</v>
      </c>
      <c r="D53" s="43" t="s">
        <v>234</v>
      </c>
    </row>
    <row r="54" customFormat="false" ht="15" hidden="false" customHeight="false" outlineLevel="0" collapsed="false">
      <c r="A54" s="16" t="s">
        <v>235</v>
      </c>
      <c r="C54" s="62" t="str">
        <f aca="false">IF(AND(MIN($C$17:$N$17)&gt;=0,MAX($C$17:$N$17)&lt;=1),"PASS","FAIL")</f>
        <v>PASS</v>
      </c>
      <c r="D54" s="43" t="s">
        <v>236</v>
      </c>
    </row>
    <row r="55" customFormat="false" ht="15" hidden="false" customHeight="false" outlineLevel="0" collapsed="false">
      <c r="A55" s="16" t="s">
        <v>237</v>
      </c>
      <c r="C55" s="62" t="str">
        <f aca="false">IF(AND(MIN($C$16:$N$16)&gt;=0,MAX($C$16:$N$16)&lt;=1),"PASS","FAIL")</f>
        <v>PASS</v>
      </c>
      <c r="D55" s="43" t="s">
        <v>238</v>
      </c>
    </row>
    <row r="56" customFormat="false" ht="15" hidden="false" customHeight="false" outlineLevel="0" collapsed="false">
      <c r="A56" s="16" t="s">
        <v>239</v>
      </c>
      <c r="C56" s="62" t="str">
        <f aca="false">IF(AND(Assumptions!$C$14&gt;=0,Assumptions!$C$15&gt;=0,Assumptions!$C$16&gt;=0),"PASS","FAIL")</f>
        <v>PASS</v>
      </c>
      <c r="D56" s="43" t="s">
        <v>240</v>
      </c>
    </row>
    <row r="57" customFormat="false" ht="15" hidden="false" customHeight="false" outlineLevel="0" collapsed="false">
      <c r="A57" s="16" t="s">
        <v>241</v>
      </c>
      <c r="C57" s="62" t="str">
        <f aca="false">IF(AND(MIN($C$22:$N$22)&gt;=0,MIN($C$23:$N$23)&gt;=0,SUMPRODUCT(($C$23:$N$23&gt;$C$22:$N$22)*1)=0),"PASS","FAIL")</f>
        <v>PASS</v>
      </c>
      <c r="D57" s="43" t="s">
        <v>242</v>
      </c>
    </row>
    <row r="58" customFormat="false" ht="15" hidden="false" customHeight="false" outlineLevel="0" collapsed="false">
      <c r="A58" s="16" t="s">
        <v>243</v>
      </c>
      <c r="C58" s="62" t="str">
        <f aca="false">IF(SUMPRODUCT(($C$25:$N$25&gt;$C$24:$N$24+0.000001)*1)=0,"PASS","FAIL")</f>
        <v>PASS</v>
      </c>
      <c r="D58" s="43" t="s">
        <v>242</v>
      </c>
    </row>
    <row r="59" customFormat="false" ht="15" hidden="false" customHeight="false" outlineLevel="0" collapsed="false">
      <c r="A59" s="16" t="s">
        <v>244</v>
      </c>
      <c r="C59" s="62" t="str">
        <f aca="false">IF(MIN(Assumptions!$C$22:$E$24)&gt;=0,"PASS","FAIL")</f>
        <v>PASS</v>
      </c>
      <c r="D59" s="43" t="s">
        <v>245</v>
      </c>
    </row>
    <row r="60" customFormat="false" ht="15" hidden="false" customHeight="false" outlineLevel="0" collapsed="false">
      <c r="A60" s="16" t="s">
        <v>246</v>
      </c>
      <c r="C60" s="62" t="str">
        <f aca="false">IF(AND(MIN($C$30:$N$30)&gt;=0,MIN($C$31:$N$31)&gt;=0,MIN($C$36:$N$36)&gt;=0),"PASS","FAIL")</f>
        <v>PASS</v>
      </c>
      <c r="D60" s="43" t="s">
        <v>247</v>
      </c>
    </row>
    <row r="61" customFormat="false" ht="15" hidden="false" customHeight="false" outlineLevel="0" collapsed="false">
      <c r="A61" s="16" t="s">
        <v>248</v>
      </c>
      <c r="C61" s="62" t="str">
        <f aca="false">IF(AND(ABS($O$29-SUM($C$29:$N$29))&lt;0.01,ABS($O$32-SUM($C$32:$N$32))&lt;0.01,ABS($O$37-SUM($C$37:$N$37))&lt;0.01),"PASS","FAIL")</f>
        <v>PASS</v>
      </c>
      <c r="D61" s="43" t="s">
        <v>249</v>
      </c>
    </row>
    <row r="62" customFormat="false" ht="15" hidden="false" customHeight="false" outlineLevel="0" collapsed="false">
      <c r="A62" s="16" t="s">
        <v>250</v>
      </c>
      <c r="C62" s="62" t="str">
        <f aca="false">IF(ABS($O$29-SUMPRODUCT($C$25:$N$25,$C$28:$N$28))&lt;0.01,"PASS","FAIL")</f>
        <v>PASS</v>
      </c>
      <c r="D62" s="43" t="s">
        <v>251</v>
      </c>
    </row>
    <row r="63" customFormat="false" ht="15" hidden="false" customHeight="false" outlineLevel="0" collapsed="false">
      <c r="A63" s="16" t="s">
        <v>252</v>
      </c>
      <c r="C63" s="62" t="str">
        <f aca="false">IF(ABS($O$30+$O$31-$O$32)&lt;0.01,"PASS","FAIL")</f>
        <v>PASS</v>
      </c>
      <c r="D63" s="43" t="s">
        <v>253</v>
      </c>
    </row>
    <row r="64" customFormat="false" ht="15" hidden="false" customHeight="false" outlineLevel="0" collapsed="false">
      <c r="A64" s="16" t="s">
        <v>254</v>
      </c>
      <c r="C64" s="62" t="str">
        <f aca="false">IF(ABS($O$29-$O$30-$O$31-$O$36-$O$37)&lt;0.01,"PASS","FAIL")</f>
        <v>PASS</v>
      </c>
      <c r="D64" s="43" t="s">
        <v>255</v>
      </c>
    </row>
    <row r="65" customFormat="false" ht="15" hidden="false" customHeight="false" outlineLevel="0" collapsed="false">
      <c r="A65" s="16" t="s">
        <v>256</v>
      </c>
      <c r="C65" s="62" t="str">
        <f aca="false">IF(IF(ISNUMBER($O$35),ABS($O$35*$O$23-$O$33)&lt;0.01,ABS($O$33)&lt;0.01),"PASS","FAIL")</f>
        <v>PASS</v>
      </c>
      <c r="D65" s="43" t="s">
        <v>257</v>
      </c>
    </row>
    <row r="66" customFormat="false" ht="15" hidden="false" customHeight="false" outlineLevel="0" collapsed="false">
      <c r="A66" s="16" t="s">
        <v>258</v>
      </c>
      <c r="C66" s="62" t="str">
        <f aca="false">IF(ABS($O$39-$O$37)&lt;0.01,"PASS","FAIL")</f>
        <v>PASS</v>
      </c>
      <c r="D66" s="43" t="s">
        <v>259</v>
      </c>
    </row>
    <row r="67" customFormat="false" ht="15" hidden="false" customHeight="false" outlineLevel="0" collapsed="false">
      <c r="A67" s="16" t="s">
        <v>260</v>
      </c>
      <c r="C67" s="62" t="str">
        <f aca="false">IF(ABS(INDEX('Scenario Comparison'!$C$23:$E$23,Assumptions!$C$6)-$O$29)&lt;0.01,"PASS","FAIL")</f>
        <v>PASS</v>
      </c>
      <c r="D67" s="43" t="s">
        <v>261</v>
      </c>
    </row>
    <row r="68" customFormat="false" ht="15" hidden="false" customHeight="false" outlineLevel="0" collapsed="false">
      <c r="A68" s="16" t="s">
        <v>262</v>
      </c>
      <c r="C68" s="62" t="str">
        <f aca="false">IF(ABS(INDEX('Scenario Comparison'!$C$29:$E$29,Assumptions!$C$6)-$O$37)&lt;0.01,"PASS","FAIL")</f>
        <v>PASS</v>
      </c>
      <c r="D68" s="43" t="s">
        <v>261</v>
      </c>
    </row>
    <row r="69" customFormat="false" ht="15" hidden="false" customHeight="false" outlineLevel="0" collapsed="false">
      <c r="A69" s="16" t="s">
        <v>263</v>
      </c>
      <c r="C69" s="62" t="str">
        <f aca="false">IF(ABS(INDEX('Scenario Comparison'!$C$20:$E$20,Assumptions!$C$6)-$O$25)&lt;0.01,"PASS","FAIL")</f>
        <v>PASS</v>
      </c>
      <c r="D69" s="43" t="s">
        <v>261</v>
      </c>
    </row>
    <row r="70" customFormat="false" ht="15" hidden="false" customHeight="false" outlineLevel="0" collapsed="false">
      <c r="A70" s="63" t="s">
        <v>264</v>
      </c>
      <c r="B70" s="64"/>
      <c r="C70" s="65" t="str">
        <f aca="false">IF(COUNTIF($C$51:$C$69,"PASS")=19,"ALL 19 CHECKS PASS","REVIEW: "&amp;(19-COUNTIF($C$51:$C$69,"PASS"))&amp;" CHECK(S) FAILING")</f>
        <v>ALL 19 CHECKS PASS</v>
      </c>
      <c r="D70" s="65"/>
      <c r="E70" s="65"/>
      <c r="F70" s="65"/>
    </row>
    <row r="72" customFormat="false" ht="15" hidden="false" customHeight="false" outlineLevel="0" collapsed="false">
      <c r="A72" s="16" t="s">
        <v>265</v>
      </c>
      <c r="C72" s="66" t="n">
        <f aca="false">SUMPRODUCT((Assumptions!$F$21*$C$14:$N$14&gt;1)*1)</f>
        <v>0</v>
      </c>
      <c r="D72" s="43" t="s">
        <v>266</v>
      </c>
    </row>
  </sheetData>
  <mergeCells count="2">
    <mergeCell ref="A47:P47"/>
    <mergeCell ref="C70:F70"/>
  </mergeCells>
  <conditionalFormatting sqref="C44:O44">
    <cfRule type="expression" priority="2" aboveAverage="0" equalAverage="0" bottom="0" percent="0" rank="0" text="" dxfId="2">
      <formula>AND(ISNUMBER(C44),C44&gt;1)</formula>
    </cfRule>
  </conditionalFormatting>
  <conditionalFormatting sqref="C45:O45">
    <cfRule type="expression" priority="3" aboveAverage="0" equalAverage="0" bottom="0" percent="0" rank="0" text="" dxfId="2">
      <formula>AND(ISNUMBER(C45),C45&gt;1)</formula>
    </cfRule>
  </conditionalFormatting>
  <conditionalFormatting sqref="C37:O37">
    <cfRule type="cellIs" priority="4" operator="lessThan" aboveAverage="0" equalAverage="0" bottom="0" percent="0" rank="0" text="" dxfId="2">
      <formula>0</formula>
    </cfRule>
  </conditionalFormatting>
  <conditionalFormatting sqref="C51:C69">
    <cfRule type="cellIs" priority="5" operator="equal" aboveAverage="0" equalAverage="0" bottom="0" percent="0" rank="0" text="" dxfId="0">
      <formula>"PASS"</formula>
    </cfRule>
    <cfRule type="cellIs" priority="6" operator="equal" aboveAverage="0" equalAverage="0" bottom="0" percent="0" rank="0" text="" dxfId="1">
      <formula>"FAIL"</formula>
    </cfRule>
  </conditionalFormatting>
  <conditionalFormatting sqref="C70">
    <cfRule type="expression" priority="7" aboveAverage="0" equalAverage="0" bottom="0" percent="0" rank="0" text="" dxfId="0">
      <formula>LEFT($C$70,3)="ALL"</formula>
    </cfRule>
    <cfRule type="expression" priority="8" aboveAverage="0" equalAverage="0" bottom="0" percent="0" rank="0" text="" dxfId="1">
      <formula>LEFT($C$70,3)&lt;&gt;"ALL"</formula>
    </cfRule>
  </conditionalFormatting>
  <conditionalFormatting sqref="C72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7" min="6" style="0" width="17"/>
    <col collapsed="false" customWidth="true" hidden="false" outlineLevel="0" max="15" min="8" style="0" width="14"/>
    <col collapsed="false" customWidth="true" hidden="false" outlineLevel="0" max="16" min="16" style="0" width="4"/>
  </cols>
  <sheetData>
    <row r="1" customFormat="false" ht="25.5" hidden="false" customHeight="true" outlineLevel="0" collapsed="false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268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4" t="s">
        <v>2</v>
      </c>
    </row>
    <row r="5" customFormat="false" ht="19.5" hidden="false" customHeight="true" outlineLevel="0" collapsed="false">
      <c r="A5" s="18" t="s">
        <v>269</v>
      </c>
      <c r="B5" s="19" t="s">
        <v>90</v>
      </c>
      <c r="C5" s="19" t="s">
        <v>82</v>
      </c>
      <c r="D5" s="19" t="s">
        <v>91</v>
      </c>
      <c r="E5" s="19" t="s">
        <v>92</v>
      </c>
      <c r="F5" s="19" t="s">
        <v>270</v>
      </c>
      <c r="G5" s="19" t="s">
        <v>271</v>
      </c>
      <c r="H5" s="19" t="s">
        <v>272</v>
      </c>
      <c r="I5" s="19"/>
      <c r="J5" s="19"/>
      <c r="K5" s="19"/>
      <c r="L5" s="19"/>
      <c r="M5" s="19"/>
      <c r="N5" s="19"/>
      <c r="O5" s="19"/>
      <c r="P5" s="19"/>
    </row>
    <row r="6" customFormat="false" ht="15" hidden="false" customHeight="false" outlineLevel="0" collapsed="false">
      <c r="A6" s="9" t="s">
        <v>273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customFormat="false" ht="15" hidden="false" customHeight="false" outlineLevel="0" collapsed="false">
      <c r="A7" s="16" t="s">
        <v>117</v>
      </c>
      <c r="B7" s="14" t="s">
        <v>274</v>
      </c>
      <c r="C7" s="47" t="n">
        <f aca="false">Assumptions!$C$19</f>
        <v>0.95</v>
      </c>
      <c r="D7" s="47" t="n">
        <f aca="false">Assumptions!$D$19</f>
        <v>0.97</v>
      </c>
      <c r="E7" s="47" t="n">
        <f aca="false">Assumptions!$E$19</f>
        <v>0.9</v>
      </c>
      <c r="F7" s="48" t="n">
        <f aca="false">D7-C7</f>
        <v>0.02</v>
      </c>
      <c r="G7" s="48" t="n">
        <f aca="false">E7-C7</f>
        <v>-0.0499999999999999</v>
      </c>
    </row>
    <row r="8" customFormat="false" ht="15" hidden="false" customHeight="false" outlineLevel="0" collapsed="false">
      <c r="A8" s="16" t="s">
        <v>275</v>
      </c>
      <c r="B8" s="14" t="s">
        <v>121</v>
      </c>
      <c r="C8" s="67" t="n">
        <f aca="false">Assumptions!$C$20</f>
        <v>175</v>
      </c>
      <c r="D8" s="67" t="n">
        <f aca="false">Assumptions!$D$20</f>
        <v>190</v>
      </c>
      <c r="E8" s="67" t="n">
        <f aca="false">Assumptions!$E$20</f>
        <v>160</v>
      </c>
      <c r="F8" s="49" t="n">
        <f aca="false">D8-C8</f>
        <v>15</v>
      </c>
      <c r="G8" s="49" t="n">
        <f aca="false">E8-C8</f>
        <v>-15</v>
      </c>
    </row>
    <row r="9" customFormat="false" ht="15" hidden="false" customHeight="false" outlineLevel="0" collapsed="false">
      <c r="A9" s="16" t="s">
        <v>276</v>
      </c>
      <c r="B9" s="14" t="s">
        <v>124</v>
      </c>
      <c r="C9" s="47" t="n">
        <f aca="false">Assumptions!$C$21</f>
        <v>0.6</v>
      </c>
      <c r="D9" s="47" t="n">
        <f aca="false">Assumptions!$D$21</f>
        <v>0.68</v>
      </c>
      <c r="E9" s="47" t="n">
        <f aca="false">Assumptions!$E$21</f>
        <v>0.52</v>
      </c>
      <c r="F9" s="48" t="n">
        <f aca="false">D9-C9</f>
        <v>0.0800000000000001</v>
      </c>
      <c r="G9" s="48" t="n">
        <f aca="false">E9-C9</f>
        <v>-0.08</v>
      </c>
    </row>
    <row r="10" customFormat="false" ht="15" hidden="false" customHeight="false" outlineLevel="0" collapsed="false">
      <c r="A10" s="16" t="s">
        <v>277</v>
      </c>
      <c r="B10" s="14" t="s">
        <v>186</v>
      </c>
      <c r="C10" s="67" t="n">
        <f aca="false">Assumptions!$C$22</f>
        <v>300</v>
      </c>
      <c r="D10" s="67" t="n">
        <f aca="false">Assumptions!$D$22</f>
        <v>280</v>
      </c>
      <c r="E10" s="67" t="n">
        <f aca="false">Assumptions!$E$22</f>
        <v>320</v>
      </c>
      <c r="F10" s="49" t="n">
        <f aca="false">D10-C10</f>
        <v>-20</v>
      </c>
      <c r="G10" s="49" t="n">
        <f aca="false">E10-C10</f>
        <v>20</v>
      </c>
    </row>
    <row r="11" customFormat="false" ht="15" hidden="false" customHeight="false" outlineLevel="0" collapsed="false">
      <c r="A11" s="16" t="s">
        <v>129</v>
      </c>
      <c r="B11" s="14" t="s">
        <v>121</v>
      </c>
      <c r="C11" s="67" t="n">
        <f aca="false">Assumptions!$C$23</f>
        <v>12</v>
      </c>
      <c r="D11" s="67" t="n">
        <f aca="false">Assumptions!$D$23</f>
        <v>10</v>
      </c>
      <c r="E11" s="67" t="n">
        <f aca="false">Assumptions!$E$23</f>
        <v>15</v>
      </c>
      <c r="F11" s="49" t="n">
        <f aca="false">D11-C11</f>
        <v>-2</v>
      </c>
      <c r="G11" s="49" t="n">
        <f aca="false">E11-C11</f>
        <v>3</v>
      </c>
    </row>
    <row r="12" customFormat="false" ht="15" hidden="false" customHeight="false" outlineLevel="0" collapsed="false">
      <c r="A12" s="16" t="s">
        <v>278</v>
      </c>
      <c r="B12" s="14" t="s">
        <v>132</v>
      </c>
      <c r="C12" s="68" t="n">
        <f aca="false">Assumptions!$C$24</f>
        <v>90000</v>
      </c>
      <c r="D12" s="68" t="n">
        <f aca="false">Assumptions!$D$24</f>
        <v>85000</v>
      </c>
      <c r="E12" s="68" t="n">
        <f aca="false">Assumptions!$E$24</f>
        <v>100000</v>
      </c>
      <c r="F12" s="53" t="n">
        <f aca="false">D12-C12</f>
        <v>-5000</v>
      </c>
      <c r="G12" s="53" t="n">
        <f aca="false">E12-C12</f>
        <v>10000</v>
      </c>
    </row>
    <row r="13" customFormat="false" ht="15" hidden="false" customHeight="false" outlineLevel="0" collapsed="false">
      <c r="A13" s="16" t="s">
        <v>279</v>
      </c>
      <c r="B13" s="14" t="s">
        <v>280</v>
      </c>
      <c r="C13" s="69" t="n">
        <f aca="false">Assumptions!$C$27</f>
        <v>0</v>
      </c>
      <c r="D13" s="69" t="n">
        <f aca="false">Assumptions!$D$27</f>
        <v>0.0025</v>
      </c>
      <c r="E13" s="69" t="n">
        <f aca="false">Assumptions!$E$27</f>
        <v>-0.005</v>
      </c>
      <c r="F13" s="70" t="n">
        <f aca="false">D13-C13</f>
        <v>0.0025</v>
      </c>
      <c r="G13" s="70" t="n">
        <f aca="false">E13-C13</f>
        <v>-0.005</v>
      </c>
    </row>
    <row r="14" customFormat="false" ht="15" hidden="false" customHeight="false" outlineLevel="0" collapsed="false">
      <c r="A14" s="16" t="s">
        <v>281</v>
      </c>
      <c r="B14" s="14" t="s">
        <v>280</v>
      </c>
      <c r="C14" s="69" t="n">
        <f aca="false">Assumptions!$C$28</f>
        <v>0.015</v>
      </c>
      <c r="D14" s="69" t="n">
        <f aca="false">Assumptions!$D$28</f>
        <v>0.02</v>
      </c>
      <c r="E14" s="69" t="n">
        <f aca="false">Assumptions!$E$28</f>
        <v>0.005</v>
      </c>
      <c r="F14" s="70" t="n">
        <f aca="false">D14-C14</f>
        <v>0.005</v>
      </c>
      <c r="G14" s="70" t="n">
        <f aca="false">E14-C14</f>
        <v>-0.01</v>
      </c>
    </row>
    <row r="15" customFormat="false" ht="15" hidden="false" customHeight="false" outlineLevel="0" collapsed="false">
      <c r="A15" s="16" t="s">
        <v>282</v>
      </c>
      <c r="B15" s="14" t="s">
        <v>280</v>
      </c>
      <c r="C15" s="69" t="n">
        <f aca="false">Assumptions!$C$29</f>
        <v>0</v>
      </c>
      <c r="D15" s="69" t="n">
        <f aca="false">Assumptions!$D$29</f>
        <v>-0.0025</v>
      </c>
      <c r="E15" s="69" t="n">
        <f aca="false">Assumptions!$E$29</f>
        <v>0.005</v>
      </c>
      <c r="F15" s="70" t="n">
        <f aca="false">D15-C15</f>
        <v>-0.0025</v>
      </c>
      <c r="G15" s="70" t="n">
        <f aca="false">E15-C15</f>
        <v>0.005</v>
      </c>
    </row>
    <row r="17" customFormat="false" ht="15" hidden="false" customHeight="false" outlineLevel="0" collapsed="false">
      <c r="A17" s="9" t="s">
        <v>283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5" hidden="false" customHeight="false" outlineLevel="0" collapsed="false">
      <c r="A18" s="16" t="s">
        <v>45</v>
      </c>
      <c r="B18" s="14" t="s">
        <v>191</v>
      </c>
      <c r="C18" s="50" t="n">
        <f aca="false">O57</f>
        <v>10752</v>
      </c>
      <c r="D18" s="50" t="n">
        <f aca="false">O75</f>
        <v>10752</v>
      </c>
      <c r="E18" s="50" t="n">
        <f aca="false">O93</f>
        <v>10752</v>
      </c>
      <c r="F18" s="50" t="n">
        <f aca="false">IF(AND(ISNUMBER(D18),ISNUMBER(C18)),D18-C18,"n.m.")</f>
        <v>0</v>
      </c>
      <c r="G18" s="50" t="n">
        <f aca="false">IF(AND(ISNUMBER(E18),ISNUMBER(C18)),E18-C18,"n.m.")</f>
        <v>0</v>
      </c>
      <c r="H18" s="43"/>
    </row>
    <row r="19" customFormat="false" ht="15" hidden="false" customHeight="false" outlineLevel="0" collapsed="false">
      <c r="A19" s="16" t="s">
        <v>47</v>
      </c>
      <c r="B19" s="14" t="s">
        <v>191</v>
      </c>
      <c r="C19" s="50" t="n">
        <f aca="false">O58</f>
        <v>10214.4</v>
      </c>
      <c r="D19" s="50" t="n">
        <f aca="false">O76</f>
        <v>10429.44</v>
      </c>
      <c r="E19" s="50" t="n">
        <f aca="false">O94</f>
        <v>9676.8</v>
      </c>
      <c r="F19" s="50" t="n">
        <f aca="false">IF(AND(ISNUMBER(D19),ISNUMBER(C19)),D19-C19,"n.m.")</f>
        <v>215.040000000001</v>
      </c>
      <c r="G19" s="50" t="n">
        <f aca="false">IF(AND(ISNUMBER(E19),ISNUMBER(C19)),E19-C19,"n.m.")</f>
        <v>-537.6</v>
      </c>
      <c r="H19" s="43"/>
    </row>
    <row r="20" customFormat="false" ht="15" hidden="false" customHeight="false" outlineLevel="0" collapsed="false">
      <c r="A20" s="16" t="s">
        <v>51</v>
      </c>
      <c r="B20" s="14" t="s">
        <v>194</v>
      </c>
      <c r="C20" s="50" t="n">
        <f aca="false">O60</f>
        <v>26641.6300076894</v>
      </c>
      <c r="D20" s="50" t="n">
        <f aca="false">O78</f>
        <v>31706.2659546671</v>
      </c>
      <c r="E20" s="50" t="n">
        <f aca="false">O96</f>
        <v>20690.5867948135</v>
      </c>
      <c r="F20" s="50" t="n">
        <f aca="false">IF(AND(ISNUMBER(D20),ISNUMBER(C20)),D20-C20,"n.m.")</f>
        <v>5064.63594697773</v>
      </c>
      <c r="G20" s="50" t="n">
        <f aca="false">IF(AND(ISNUMBER(E20),ISNUMBER(C20)),E20-C20,"n.m.")</f>
        <v>-5951.0432128759</v>
      </c>
      <c r="H20" s="43"/>
    </row>
    <row r="21" customFormat="false" ht="15" hidden="false" customHeight="false" outlineLevel="0" collapsed="false">
      <c r="A21" s="16" t="s">
        <v>284</v>
      </c>
      <c r="B21" s="14" t="s">
        <v>124</v>
      </c>
      <c r="C21" s="48" t="n">
        <f aca="false">IF(O59=0,"n.m.",O60/O59)</f>
        <v>0.65206057153845</v>
      </c>
      <c r="D21" s="48" t="n">
        <f aca="false">IF(O77=0,"n.m.",O78/O77)</f>
        <v>0.760018417927212</v>
      </c>
      <c r="E21" s="48" t="n">
        <f aca="false">IF(O95=0,"n.m.",O96/O95)</f>
        <v>0.534541036158996</v>
      </c>
      <c r="F21" s="48" t="n">
        <f aca="false">IF(AND(ISNUMBER(D21),ISNUMBER(C21)),D21-C21,"n.m.")</f>
        <v>0.107957846388761</v>
      </c>
      <c r="G21" s="48" t="n">
        <f aca="false">IF(AND(ISNUMBER(E21),ISNUMBER(C21)),E21-C21,"n.m.")</f>
        <v>-0.117519535379454</v>
      </c>
      <c r="H21" s="43" t="s">
        <v>285</v>
      </c>
    </row>
    <row r="22" customFormat="false" ht="15" hidden="false" customHeight="false" outlineLevel="0" collapsed="false">
      <c r="A22" s="16" t="s">
        <v>286</v>
      </c>
      <c r="B22" s="14" t="s">
        <v>121</v>
      </c>
      <c r="C22" s="49" t="n">
        <f aca="false">IF(O60=0,"n.m.",O61/O60)</f>
        <v>175</v>
      </c>
      <c r="D22" s="49" t="n">
        <f aca="false">IF(O78=0,"n.m.",O79/O78)</f>
        <v>192.747801204525</v>
      </c>
      <c r="E22" s="49" t="n">
        <f aca="false">IF(O96=0,"n.m.",O97/O96)</f>
        <v>155.626145283513</v>
      </c>
      <c r="F22" s="49" t="n">
        <f aca="false">IF(AND(ISNUMBER(D22),ISNUMBER(C22)),D22-C22,"n.m.")</f>
        <v>17.7478012045251</v>
      </c>
      <c r="G22" s="49" t="n">
        <f aca="false">IF(AND(ISNUMBER(E22),ISNUMBER(C22)),E22-C22,"n.m.")</f>
        <v>-19.3738547164867</v>
      </c>
      <c r="H22" s="43" t="s">
        <v>287</v>
      </c>
    </row>
    <row r="23" customFormat="false" ht="15" hidden="false" customHeight="false" outlineLevel="0" collapsed="false">
      <c r="A23" s="5" t="s">
        <v>288</v>
      </c>
      <c r="B23" s="14" t="s">
        <v>198</v>
      </c>
      <c r="C23" s="52" t="n">
        <f aca="false">O61</f>
        <v>4662285.25134564</v>
      </c>
      <c r="D23" s="52" t="n">
        <f aca="false">O79</f>
        <v>6111313.04716798</v>
      </c>
      <c r="E23" s="52" t="n">
        <f aca="false">O97</f>
        <v>3219996.26653079</v>
      </c>
      <c r="F23" s="53" t="n">
        <f aca="false">IF(AND(ISNUMBER(D23),ISNUMBER(C23)),D23-C23,"n.m.")</f>
        <v>1449027.79582234</v>
      </c>
      <c r="G23" s="53" t="n">
        <f aca="false">IF(AND(ISNUMBER(E23),ISNUMBER(C23)),E23-C23,"n.m.")</f>
        <v>-1442288.98481486</v>
      </c>
      <c r="H23" s="43"/>
    </row>
    <row r="24" customFormat="false" ht="15" hidden="false" customHeight="false" outlineLevel="0" collapsed="false">
      <c r="A24" s="16" t="s">
        <v>200</v>
      </c>
      <c r="B24" s="14" t="s">
        <v>198</v>
      </c>
      <c r="C24" s="53" t="n">
        <f aca="false">O64</f>
        <v>3384019.56009227</v>
      </c>
      <c r="D24" s="53" t="n">
        <f aca="false">O82</f>
        <v>3192977.233503</v>
      </c>
      <c r="E24" s="53" t="n">
        <f aca="false">O100</f>
        <v>3502299.29677806</v>
      </c>
      <c r="F24" s="53" t="n">
        <f aca="false">IF(AND(ISNUMBER(D24),ISNUMBER(C24)),D24-C24,"n.m.")</f>
        <v>-191042.326589271</v>
      </c>
      <c r="G24" s="53" t="n">
        <f aca="false">IF(AND(ISNUMBER(E24),ISNUMBER(C24)),E24-C24,"n.m.")</f>
        <v>118279.73668579</v>
      </c>
      <c r="H24" s="43" t="s">
        <v>289</v>
      </c>
    </row>
    <row r="25" customFormat="false" ht="15" hidden="false" customHeight="false" outlineLevel="0" collapsed="false">
      <c r="A25" s="5" t="s">
        <v>59</v>
      </c>
      <c r="B25" s="14" t="s">
        <v>198</v>
      </c>
      <c r="C25" s="52" t="n">
        <f aca="false">O65</f>
        <v>1278265.69125337</v>
      </c>
      <c r="D25" s="52" t="n">
        <f aca="false">O83</f>
        <v>2918335.81366498</v>
      </c>
      <c r="E25" s="52" t="n">
        <f aca="false">O101</f>
        <v>-282303.030247276</v>
      </c>
      <c r="F25" s="53" t="n">
        <f aca="false">IF(AND(ISNUMBER(D25),ISNUMBER(C25)),D25-C25,"n.m.")</f>
        <v>1640070.12241161</v>
      </c>
      <c r="G25" s="53" t="n">
        <f aca="false">IF(AND(ISNUMBER(E25),ISNUMBER(C25)),E25-C25,"n.m.")</f>
        <v>-1560568.72150065</v>
      </c>
      <c r="H25" s="43" t="s">
        <v>290</v>
      </c>
    </row>
    <row r="26" customFormat="false" ht="15" hidden="false" customHeight="false" outlineLevel="0" collapsed="false">
      <c r="A26" s="16" t="s">
        <v>202</v>
      </c>
      <c r="B26" s="14" t="s">
        <v>203</v>
      </c>
      <c r="C26" s="48" t="n">
        <f aca="false">IF(O61=0,"n.m.",O65/O61)</f>
        <v>0.27417148937518</v>
      </c>
      <c r="D26" s="48" t="n">
        <f aca="false">IF(O79=0,"n.m.",O83/O79)</f>
        <v>0.47753008087474</v>
      </c>
      <c r="E26" s="48" t="n">
        <f aca="false">IF(O97=0,"n.m.",O101/O97)</f>
        <v>-0.0876718501762202</v>
      </c>
      <c r="F26" s="48" t="n">
        <f aca="false">IF(AND(ISNUMBER(D26),ISNUMBER(C26)),D26-C26,"n.m.")</f>
        <v>0.20335859149956</v>
      </c>
      <c r="G26" s="48" t="n">
        <f aca="false">IF(AND(ISNUMBER(E26),ISNUMBER(C26)),E26-C26,"n.m.")</f>
        <v>-0.3618433395514</v>
      </c>
      <c r="H26" s="43"/>
    </row>
    <row r="27" customFormat="false" ht="15" hidden="false" customHeight="false" outlineLevel="0" collapsed="false">
      <c r="A27" s="5" t="s">
        <v>205</v>
      </c>
      <c r="B27" s="14" t="s">
        <v>186</v>
      </c>
      <c r="C27" s="71" t="n">
        <f aca="false">IF(O58=0,"n.m.",O65/O58)</f>
        <v>125.14349264307</v>
      </c>
      <c r="D27" s="71" t="n">
        <f aca="false">IF(O76=0,"n.m.",O83/O76)</f>
        <v>279.817115172529</v>
      </c>
      <c r="E27" s="71" t="n">
        <f aca="false">IF(O94=0,"n.m.",O101/O94)</f>
        <v>-29.1731802090852</v>
      </c>
      <c r="F27" s="49" t="n">
        <f aca="false">IF(AND(ISNUMBER(D27),ISNUMBER(C27)),D27-C27,"n.m.")</f>
        <v>154.673622529459</v>
      </c>
      <c r="G27" s="49" t="n">
        <f aca="false">IF(AND(ISNUMBER(E27),ISNUMBER(C27)),E27-C27,"n.m.")</f>
        <v>-154.316672852155</v>
      </c>
      <c r="H27" s="43"/>
    </row>
    <row r="28" customFormat="false" ht="15" hidden="false" customHeight="false" outlineLevel="0" collapsed="false">
      <c r="A28" s="16" t="s">
        <v>207</v>
      </c>
      <c r="B28" s="14" t="s">
        <v>198</v>
      </c>
      <c r="C28" s="53" t="n">
        <f aca="false">O66</f>
        <v>1080000</v>
      </c>
      <c r="D28" s="53" t="n">
        <f aca="false">O84</f>
        <v>1006091.22020016</v>
      </c>
      <c r="E28" s="53" t="n">
        <f aca="false">O102</f>
        <v>1233556.23728999</v>
      </c>
      <c r="F28" s="53" t="n">
        <f aca="false">IF(AND(ISNUMBER(D28),ISNUMBER(C28)),D28-C28,"n.m.")</f>
        <v>-73908.7797998407</v>
      </c>
      <c r="G28" s="53" t="n">
        <f aca="false">IF(AND(ISNUMBER(E28),ISNUMBER(C28)),E28-C28,"n.m.")</f>
        <v>153556.237289991</v>
      </c>
      <c r="H28" s="43"/>
    </row>
    <row r="29" customFormat="false" ht="15" hidden="false" customHeight="false" outlineLevel="0" collapsed="false">
      <c r="A29" s="5" t="s">
        <v>208</v>
      </c>
      <c r="B29" s="14" t="s">
        <v>198</v>
      </c>
      <c r="C29" s="52" t="n">
        <f aca="false">O67</f>
        <v>198265.691253371</v>
      </c>
      <c r="D29" s="52" t="n">
        <f aca="false">O85</f>
        <v>1912244.59346482</v>
      </c>
      <c r="E29" s="52" t="n">
        <f aca="false">O103</f>
        <v>-1515859.26753727</v>
      </c>
      <c r="F29" s="53" t="n">
        <f aca="false">IF(AND(ISNUMBER(D29),ISNUMBER(C29)),D29-C29,"n.m.")</f>
        <v>1713978.90221145</v>
      </c>
      <c r="G29" s="53" t="n">
        <f aca="false">IF(AND(ISNUMBER(E29),ISNUMBER(C29)),E29-C29,"n.m.")</f>
        <v>-1714124.95879064</v>
      </c>
      <c r="H29" s="43" t="s">
        <v>291</v>
      </c>
    </row>
    <row r="30" customFormat="false" ht="15" hidden="false" customHeight="false" outlineLevel="0" collapsed="false">
      <c r="A30" s="16" t="s">
        <v>209</v>
      </c>
      <c r="B30" s="14" t="s">
        <v>203</v>
      </c>
      <c r="C30" s="48" t="n">
        <f aca="false">IF(O61=0,"n.m.",O67/O61)</f>
        <v>0.0425254313206484</v>
      </c>
      <c r="D30" s="48" t="n">
        <f aca="false">IF(O79=0,"n.m.",O85/O79)</f>
        <v>0.312902412084906</v>
      </c>
      <c r="E30" s="48" t="n">
        <f aca="false">IF(O97=0,"n.m.",O103/O97)</f>
        <v>-0.47076429351592</v>
      </c>
      <c r="F30" s="48" t="n">
        <f aca="false">IF(AND(ISNUMBER(D30),ISNUMBER(C30)),D30-C30,"n.m.")</f>
        <v>0.270376980764258</v>
      </c>
      <c r="G30" s="48" t="n">
        <f aca="false">IF(AND(ISNUMBER(E30),ISNUMBER(C30)),E30-C30,"n.m.")</f>
        <v>-0.513289724836569</v>
      </c>
      <c r="H30" s="43"/>
    </row>
    <row r="31" customFormat="false" ht="15" hidden="false" customHeight="false" outlineLevel="0" collapsed="false">
      <c r="A31" s="16" t="s">
        <v>292</v>
      </c>
      <c r="B31" s="14" t="s">
        <v>124</v>
      </c>
      <c r="C31" s="48" t="n">
        <f aca="false">IF(O68&gt;0,O62/O68,"n.m.")</f>
        <v>0.460122699386503</v>
      </c>
      <c r="D31" s="48" t="n">
        <f aca="false">IF(O86&gt;0,O80/O86,"n.m.")</f>
        <v>0.377770919277528</v>
      </c>
      <c r="E31" s="48" t="n">
        <f aca="false">IF(O104&gt;0,O98/O104,"n.m.")</f>
        <v>0.586347858328431</v>
      </c>
      <c r="F31" s="48" t="n">
        <f aca="false">IF(AND(ISNUMBER(D31),ISNUMBER(C31)),D31-C31,"n.m.")</f>
        <v>-0.0823517801089754</v>
      </c>
      <c r="G31" s="48" t="n">
        <f aca="false">IF(AND(ISNUMBER(E31),ISNUMBER(C31)),E31-C31,"n.m.")</f>
        <v>0.126225158941928</v>
      </c>
      <c r="H31" s="43" t="s">
        <v>293</v>
      </c>
    </row>
    <row r="32" customFormat="false" ht="15" hidden="false" customHeight="false" outlineLevel="0" collapsed="false">
      <c r="A32" s="5" t="s">
        <v>294</v>
      </c>
      <c r="B32" s="14" t="s">
        <v>124</v>
      </c>
      <c r="C32" s="58" t="n">
        <f aca="false">IF(O68&gt;0,(O62+O66)/O68,"n.m.")</f>
        <v>0.622290004151483</v>
      </c>
      <c r="D32" s="58" t="n">
        <f aca="false">IF(O86&gt;0,(O80+O84)/O86,"n.m.")</f>
        <v>0.509721004004402</v>
      </c>
      <c r="E32" s="58" t="n">
        <f aca="false">IF(O104&gt;0,(O98+O102)/O104,"n.m.")</f>
        <v>0.813572195788295</v>
      </c>
      <c r="F32" s="48" t="n">
        <f aca="false">IF(AND(ISNUMBER(D32),ISNUMBER(C32)),D32-C32,"n.m.")</f>
        <v>-0.112569000147081</v>
      </c>
      <c r="G32" s="48" t="n">
        <f aca="false">IF(AND(ISNUMBER(E32),ISNUMBER(C32)),E32-C32,"n.m.")</f>
        <v>0.191282191636812</v>
      </c>
      <c r="H32" s="43" t="s">
        <v>295</v>
      </c>
    </row>
    <row r="33" customFormat="false" ht="15" hidden="false" customHeight="false" outlineLevel="0" collapsed="false">
      <c r="A33" s="16" t="s">
        <v>296</v>
      </c>
      <c r="B33" s="14" t="s">
        <v>297</v>
      </c>
      <c r="C33" s="72" t="n">
        <f aca="false">COUNTIF(C67:N67,"&gt;0")</f>
        <v>9</v>
      </c>
      <c r="D33" s="72" t="n">
        <f aca="false">COUNTIF(C85:N85,"&gt;0")</f>
        <v>12</v>
      </c>
      <c r="E33" s="72" t="n">
        <f aca="false">COUNTIF(C103:N103,"&gt;0")</f>
        <v>0</v>
      </c>
      <c r="F33" s="72" t="n">
        <f aca="false">IF(AND(ISNUMBER(D33),ISNUMBER(C33)),D33-C33,"n.m.")</f>
        <v>3</v>
      </c>
      <c r="G33" s="72" t="n">
        <f aca="false">IF(AND(ISNUMBER(E33),ISNUMBER(C33)),E33-C33,"n.m.")</f>
        <v>-9</v>
      </c>
      <c r="H33" s="43"/>
    </row>
    <row r="35" customFormat="false" ht="15" hidden="false" customHeight="false" outlineLevel="0" collapsed="false">
      <c r="A35" s="9" t="s">
        <v>298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5" hidden="false" customHeight="false" outlineLevel="0" collapsed="false">
      <c r="A36" s="5" t="s">
        <v>82</v>
      </c>
      <c r="B36" s="73" t="s">
        <v>143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</row>
    <row r="37" customFormat="false" ht="15" hidden="false" customHeight="false" outlineLevel="0" collapsed="false">
      <c r="A37" s="5" t="s">
        <v>91</v>
      </c>
      <c r="B37" s="73" t="s">
        <v>144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</row>
    <row r="38" customFormat="false" ht="15" hidden="false" customHeight="false" outlineLevel="0" collapsed="false">
      <c r="A38" s="5" t="s">
        <v>92</v>
      </c>
      <c r="B38" s="73" t="s">
        <v>145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</row>
    <row r="40" customFormat="false" ht="15" hidden="false" customHeight="true" outlineLevel="0" collapsed="false">
      <c r="A40" s="59" t="s">
        <v>299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50" customFormat="false" ht="15" hidden="false" customHeight="false" outlineLevel="0" collapsed="false">
      <c r="A50" s="9" t="s">
        <v>300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2" customFormat="false" ht="19.5" hidden="false" customHeight="true" outlineLevel="0" collapsed="false">
      <c r="A52" s="18" t="s">
        <v>301</v>
      </c>
      <c r="B52" s="19" t="s">
        <v>90</v>
      </c>
      <c r="C52" s="19" t="s">
        <v>155</v>
      </c>
      <c r="D52" s="19" t="s">
        <v>156</v>
      </c>
      <c r="E52" s="19" t="s">
        <v>157</v>
      </c>
      <c r="F52" s="19" t="s">
        <v>158</v>
      </c>
      <c r="G52" s="19" t="s">
        <v>159</v>
      </c>
      <c r="H52" s="19" t="s">
        <v>160</v>
      </c>
      <c r="I52" s="19" t="s">
        <v>161</v>
      </c>
      <c r="J52" s="19" t="s">
        <v>162</v>
      </c>
      <c r="K52" s="19" t="s">
        <v>163</v>
      </c>
      <c r="L52" s="19" t="s">
        <v>164</v>
      </c>
      <c r="M52" s="19" t="s">
        <v>165</v>
      </c>
      <c r="N52" s="19" t="s">
        <v>166</v>
      </c>
      <c r="O52" s="19" t="s">
        <v>167</v>
      </c>
      <c r="P52" s="19"/>
    </row>
    <row r="53" customFormat="false" ht="15" hidden="false" customHeight="false" outlineLevel="0" collapsed="false">
      <c r="A53" s="16" t="s">
        <v>169</v>
      </c>
      <c r="C53" s="17" t="n">
        <v>1</v>
      </c>
      <c r="D53" s="17" t="n">
        <f aca="false">C53+1</f>
        <v>2</v>
      </c>
      <c r="E53" s="17" t="n">
        <f aca="false">D53+1</f>
        <v>3</v>
      </c>
      <c r="F53" s="17" t="n">
        <f aca="false">E53+1</f>
        <v>4</v>
      </c>
      <c r="G53" s="17" t="n">
        <f aca="false">F53+1</f>
        <v>5</v>
      </c>
      <c r="H53" s="17" t="n">
        <f aca="false">G53+1</f>
        <v>6</v>
      </c>
      <c r="I53" s="17" t="n">
        <f aca="false">H53+1</f>
        <v>7</v>
      </c>
      <c r="J53" s="17" t="n">
        <f aca="false">I53+1</f>
        <v>8</v>
      </c>
      <c r="K53" s="17" t="n">
        <f aca="false">J53+1</f>
        <v>9</v>
      </c>
      <c r="L53" s="17" t="n">
        <f aca="false">K53+1</f>
        <v>10</v>
      </c>
      <c r="M53" s="17" t="n">
        <f aca="false">L53+1</f>
        <v>11</v>
      </c>
      <c r="N53" s="17" t="n">
        <f aca="false">M53+1</f>
        <v>12</v>
      </c>
    </row>
    <row r="54" customFormat="false" ht="15" hidden="false" customHeight="false" outlineLevel="0" collapsed="false">
      <c r="A54" s="16" t="s">
        <v>196</v>
      </c>
      <c r="B54" s="14" t="s">
        <v>121</v>
      </c>
      <c r="C54" s="49" t="n">
        <f aca="false">Assumptions!$C$20*(1+Assumptions!$C$27)^(C$53-1)</f>
        <v>175</v>
      </c>
      <c r="D54" s="49" t="n">
        <f aca="false">Assumptions!$C$20*(1+Assumptions!$C$27)^(D$53-1)</f>
        <v>175</v>
      </c>
      <c r="E54" s="49" t="n">
        <f aca="false">Assumptions!$C$20*(1+Assumptions!$C$27)^(E$53-1)</f>
        <v>175</v>
      </c>
      <c r="F54" s="49" t="n">
        <f aca="false">Assumptions!$C$20*(1+Assumptions!$C$27)^(F$53-1)</f>
        <v>175</v>
      </c>
      <c r="G54" s="49" t="n">
        <f aca="false">Assumptions!$C$20*(1+Assumptions!$C$27)^(G$53-1)</f>
        <v>175</v>
      </c>
      <c r="H54" s="49" t="n">
        <f aca="false">Assumptions!$C$20*(1+Assumptions!$C$27)^(H$53-1)</f>
        <v>175</v>
      </c>
      <c r="I54" s="49" t="n">
        <f aca="false">Assumptions!$C$20*(1+Assumptions!$C$27)^(I$53-1)</f>
        <v>175</v>
      </c>
      <c r="J54" s="49" t="n">
        <f aca="false">Assumptions!$C$20*(1+Assumptions!$C$27)^(J$53-1)</f>
        <v>175</v>
      </c>
      <c r="K54" s="49" t="n">
        <f aca="false">Assumptions!$C$20*(1+Assumptions!$C$27)^(K$53-1)</f>
        <v>175</v>
      </c>
      <c r="L54" s="49" t="n">
        <f aca="false">Assumptions!$C$20*(1+Assumptions!$C$27)^(L$53-1)</f>
        <v>175</v>
      </c>
      <c r="M54" s="49" t="n">
        <f aca="false">Assumptions!$C$20*(1+Assumptions!$C$27)^(M$53-1)</f>
        <v>175</v>
      </c>
      <c r="N54" s="49" t="n">
        <f aca="false">Assumptions!$C$20*(1+Assumptions!$C$27)^(N$53-1)</f>
        <v>175</v>
      </c>
      <c r="O54" s="38"/>
    </row>
    <row r="55" customFormat="false" ht="15" hidden="false" customHeight="false" outlineLevel="0" collapsed="false">
      <c r="A55" s="16" t="s">
        <v>183</v>
      </c>
      <c r="B55" s="14" t="s">
        <v>124</v>
      </c>
      <c r="C55" s="48" t="n">
        <f aca="false">MIN(1,MAX(0,Assumptions!$C$21*(1+Assumptions!$C$28)^(C$53-1)))</f>
        <v>0.6</v>
      </c>
      <c r="D55" s="48" t="n">
        <f aca="false">MIN(1,MAX(0,Assumptions!$C$21*(1+Assumptions!$C$28)^(D$53-1)))</f>
        <v>0.609</v>
      </c>
      <c r="E55" s="48" t="n">
        <f aca="false">MIN(1,MAX(0,Assumptions!$C$21*(1+Assumptions!$C$28)^(E$53-1)))</f>
        <v>0.618135</v>
      </c>
      <c r="F55" s="48" t="n">
        <f aca="false">MIN(1,MAX(0,Assumptions!$C$21*(1+Assumptions!$C$28)^(F$53-1)))</f>
        <v>0.627407025</v>
      </c>
      <c r="G55" s="48" t="n">
        <f aca="false">MIN(1,MAX(0,Assumptions!$C$21*(1+Assumptions!$C$28)^(G$53-1)))</f>
        <v>0.636818130375</v>
      </c>
      <c r="H55" s="48" t="n">
        <f aca="false">MIN(1,MAX(0,Assumptions!$C$21*(1+Assumptions!$C$28)^(H$53-1)))</f>
        <v>0.646370402330625</v>
      </c>
      <c r="I55" s="48" t="n">
        <f aca="false">MIN(1,MAX(0,Assumptions!$C$21*(1+Assumptions!$C$28)^(I$53-1)))</f>
        <v>0.656065958365584</v>
      </c>
      <c r="J55" s="48" t="n">
        <f aca="false">MIN(1,MAX(0,Assumptions!$C$21*(1+Assumptions!$C$28)^(J$53-1)))</f>
        <v>0.665906947741068</v>
      </c>
      <c r="K55" s="48" t="n">
        <f aca="false">MIN(1,MAX(0,Assumptions!$C$21*(1+Assumptions!$C$28)^(K$53-1)))</f>
        <v>0.675895551957184</v>
      </c>
      <c r="L55" s="48" t="n">
        <f aca="false">MIN(1,MAX(0,Assumptions!$C$21*(1+Assumptions!$C$28)^(L$53-1)))</f>
        <v>0.686033985236541</v>
      </c>
      <c r="M55" s="48" t="n">
        <f aca="false">MIN(1,MAX(0,Assumptions!$C$21*(1+Assumptions!$C$28)^(M$53-1)))</f>
        <v>0.696324495015089</v>
      </c>
      <c r="N55" s="48" t="n">
        <f aca="false">MIN(1,MAX(0,Assumptions!$C$21*(1+Assumptions!$C$28)^(N$53-1)))</f>
        <v>0.706769362440316</v>
      </c>
      <c r="O55" s="38"/>
    </row>
    <row r="56" customFormat="false" ht="15" hidden="false" customHeight="false" outlineLevel="0" collapsed="false">
      <c r="A56" s="16" t="s">
        <v>181</v>
      </c>
      <c r="B56" s="14" t="s">
        <v>179</v>
      </c>
      <c r="C56" s="45" t="n">
        <f aca="false">(1+Assumptions!$C$29)^(C$53-1)</f>
        <v>1</v>
      </c>
      <c r="D56" s="45" t="n">
        <f aca="false">(1+Assumptions!$C$29)^(D$53-1)</f>
        <v>1</v>
      </c>
      <c r="E56" s="45" t="n">
        <f aca="false">(1+Assumptions!$C$29)^(E$53-1)</f>
        <v>1</v>
      </c>
      <c r="F56" s="45" t="n">
        <f aca="false">(1+Assumptions!$C$29)^(F$53-1)</f>
        <v>1</v>
      </c>
      <c r="G56" s="45" t="n">
        <f aca="false">(1+Assumptions!$C$29)^(G$53-1)</f>
        <v>1</v>
      </c>
      <c r="H56" s="45" t="n">
        <f aca="false">(1+Assumptions!$C$29)^(H$53-1)</f>
        <v>1</v>
      </c>
      <c r="I56" s="45" t="n">
        <f aca="false">(1+Assumptions!$C$29)^(I$53-1)</f>
        <v>1</v>
      </c>
      <c r="J56" s="45" t="n">
        <f aca="false">(1+Assumptions!$C$29)^(J$53-1)</f>
        <v>1</v>
      </c>
      <c r="K56" s="45" t="n">
        <f aca="false">(1+Assumptions!$C$29)^(K$53-1)</f>
        <v>1</v>
      </c>
      <c r="L56" s="45" t="n">
        <f aca="false">(1+Assumptions!$C$29)^(L$53-1)</f>
        <v>1</v>
      </c>
      <c r="M56" s="45" t="n">
        <f aca="false">(1+Assumptions!$C$29)^(M$53-1)</f>
        <v>1</v>
      </c>
      <c r="N56" s="45" t="n">
        <f aca="false">(1+Assumptions!$C$29)^(N$53-1)</f>
        <v>1</v>
      </c>
      <c r="O56" s="38"/>
    </row>
    <row r="57" customFormat="false" ht="15" hidden="false" customHeight="false" outlineLevel="0" collapsed="false">
      <c r="A57" s="16" t="s">
        <v>45</v>
      </c>
      <c r="B57" s="14" t="s">
        <v>191</v>
      </c>
      <c r="C57" s="50" t="n">
        <f aca="false">Assumptions!$F$16*Assumptions!$F$15</f>
        <v>896</v>
      </c>
      <c r="D57" s="50" t="n">
        <f aca="false">Assumptions!$F$16*Assumptions!$F$15</f>
        <v>896</v>
      </c>
      <c r="E57" s="50" t="n">
        <f aca="false">Assumptions!$F$16*Assumptions!$F$15</f>
        <v>896</v>
      </c>
      <c r="F57" s="50" t="n">
        <f aca="false">Assumptions!$F$16*Assumptions!$F$15</f>
        <v>896</v>
      </c>
      <c r="G57" s="50" t="n">
        <f aca="false">Assumptions!$F$16*Assumptions!$F$15</f>
        <v>896</v>
      </c>
      <c r="H57" s="50" t="n">
        <f aca="false">Assumptions!$F$16*Assumptions!$F$15</f>
        <v>896</v>
      </c>
      <c r="I57" s="50" t="n">
        <f aca="false">Assumptions!$F$16*Assumptions!$F$15</f>
        <v>896</v>
      </c>
      <c r="J57" s="50" t="n">
        <f aca="false">Assumptions!$F$16*Assumptions!$F$15</f>
        <v>896</v>
      </c>
      <c r="K57" s="50" t="n">
        <f aca="false">Assumptions!$F$16*Assumptions!$F$15</f>
        <v>896</v>
      </c>
      <c r="L57" s="50" t="n">
        <f aca="false">Assumptions!$F$16*Assumptions!$F$15</f>
        <v>896</v>
      </c>
      <c r="M57" s="50" t="n">
        <f aca="false">Assumptions!$F$16*Assumptions!$F$15</f>
        <v>896</v>
      </c>
      <c r="N57" s="50" t="n">
        <f aca="false">Assumptions!$F$16*Assumptions!$F$15</f>
        <v>896</v>
      </c>
      <c r="O57" s="42" t="n">
        <f aca="false">SUM(C57:N57)</f>
        <v>10752</v>
      </c>
    </row>
    <row r="58" customFormat="false" ht="15" hidden="false" customHeight="false" outlineLevel="0" collapsed="false">
      <c r="A58" s="16" t="s">
        <v>47</v>
      </c>
      <c r="B58" s="14" t="s">
        <v>191</v>
      </c>
      <c r="C58" s="50" t="n">
        <f aca="false">C57*Assumptions!$C$19</f>
        <v>851.2</v>
      </c>
      <c r="D58" s="50" t="n">
        <f aca="false">D57*Assumptions!$C$19</f>
        <v>851.2</v>
      </c>
      <c r="E58" s="50" t="n">
        <f aca="false">E57*Assumptions!$C$19</f>
        <v>851.2</v>
      </c>
      <c r="F58" s="50" t="n">
        <f aca="false">F57*Assumptions!$C$19</f>
        <v>851.2</v>
      </c>
      <c r="G58" s="50" t="n">
        <f aca="false">G57*Assumptions!$C$19</f>
        <v>851.2</v>
      </c>
      <c r="H58" s="50" t="n">
        <f aca="false">H57*Assumptions!$C$19</f>
        <v>851.2</v>
      </c>
      <c r="I58" s="50" t="n">
        <f aca="false">I57*Assumptions!$C$19</f>
        <v>851.2</v>
      </c>
      <c r="J58" s="50" t="n">
        <f aca="false">J57*Assumptions!$C$19</f>
        <v>851.2</v>
      </c>
      <c r="K58" s="50" t="n">
        <f aca="false">K57*Assumptions!$C$19</f>
        <v>851.2</v>
      </c>
      <c r="L58" s="50" t="n">
        <f aca="false">L57*Assumptions!$C$19</f>
        <v>851.2</v>
      </c>
      <c r="M58" s="50" t="n">
        <f aca="false">M57*Assumptions!$C$19</f>
        <v>851.2</v>
      </c>
      <c r="N58" s="50" t="n">
        <f aca="false">N57*Assumptions!$C$19</f>
        <v>851.2</v>
      </c>
      <c r="O58" s="42" t="n">
        <f aca="false">SUM(C58:N58)</f>
        <v>10214.4</v>
      </c>
    </row>
    <row r="59" customFormat="false" ht="15" hidden="false" customHeight="false" outlineLevel="0" collapsed="false">
      <c r="A59" s="16" t="s">
        <v>192</v>
      </c>
      <c r="B59" s="14" t="s">
        <v>193</v>
      </c>
      <c r="C59" s="50" t="n">
        <f aca="false">C58*Assumptions!$F$14</f>
        <v>3404.8</v>
      </c>
      <c r="D59" s="50" t="n">
        <f aca="false">D58*Assumptions!$F$14</f>
        <v>3404.8</v>
      </c>
      <c r="E59" s="50" t="n">
        <f aca="false">E58*Assumptions!$F$14</f>
        <v>3404.8</v>
      </c>
      <c r="F59" s="50" t="n">
        <f aca="false">F58*Assumptions!$F$14</f>
        <v>3404.8</v>
      </c>
      <c r="G59" s="50" t="n">
        <f aca="false">G58*Assumptions!$F$14</f>
        <v>3404.8</v>
      </c>
      <c r="H59" s="50" t="n">
        <f aca="false">H58*Assumptions!$F$14</f>
        <v>3404.8</v>
      </c>
      <c r="I59" s="50" t="n">
        <f aca="false">I58*Assumptions!$F$14</f>
        <v>3404.8</v>
      </c>
      <c r="J59" s="50" t="n">
        <f aca="false">J58*Assumptions!$F$14</f>
        <v>3404.8</v>
      </c>
      <c r="K59" s="50" t="n">
        <f aca="false">K58*Assumptions!$F$14</f>
        <v>3404.8</v>
      </c>
      <c r="L59" s="50" t="n">
        <f aca="false">L58*Assumptions!$F$14</f>
        <v>3404.8</v>
      </c>
      <c r="M59" s="50" t="n">
        <f aca="false">M58*Assumptions!$F$14</f>
        <v>3404.8</v>
      </c>
      <c r="N59" s="50" t="n">
        <f aca="false">N58*Assumptions!$F$14</f>
        <v>3404.8</v>
      </c>
      <c r="O59" s="42" t="n">
        <f aca="false">SUM(C59:N59)</f>
        <v>40857.6</v>
      </c>
    </row>
    <row r="60" customFormat="false" ht="15" hidden="false" customHeight="false" outlineLevel="0" collapsed="false">
      <c r="A60" s="16" t="s">
        <v>51</v>
      </c>
      <c r="B60" s="14" t="s">
        <v>194</v>
      </c>
      <c r="C60" s="50" t="n">
        <f aca="false">C59*C55</f>
        <v>2042.88</v>
      </c>
      <c r="D60" s="50" t="n">
        <f aca="false">D59*D55</f>
        <v>2073.5232</v>
      </c>
      <c r="E60" s="50" t="n">
        <f aca="false">E59*E55</f>
        <v>2104.626048</v>
      </c>
      <c r="F60" s="50" t="n">
        <f aca="false">F59*F55</f>
        <v>2136.19543872</v>
      </c>
      <c r="G60" s="50" t="n">
        <f aca="false">G59*G55</f>
        <v>2168.2383703008</v>
      </c>
      <c r="H60" s="50" t="n">
        <f aca="false">H59*H55</f>
        <v>2200.76194585531</v>
      </c>
      <c r="I60" s="50" t="n">
        <f aca="false">I59*I55</f>
        <v>2233.77337504314</v>
      </c>
      <c r="J60" s="50" t="n">
        <f aca="false">J59*J55</f>
        <v>2267.27997566879</v>
      </c>
      <c r="K60" s="50" t="n">
        <f aca="false">K59*K55</f>
        <v>2301.28917530382</v>
      </c>
      <c r="L60" s="50" t="n">
        <f aca="false">L59*L55</f>
        <v>2335.80851293338</v>
      </c>
      <c r="M60" s="50" t="n">
        <f aca="false">M59*M55</f>
        <v>2370.84564062738</v>
      </c>
      <c r="N60" s="50" t="n">
        <f aca="false">N59*N55</f>
        <v>2406.40832523679</v>
      </c>
      <c r="O60" s="42" t="n">
        <f aca="false">SUM(C60:N60)</f>
        <v>26641.6300076894</v>
      </c>
    </row>
    <row r="61" customFormat="false" ht="15" hidden="false" customHeight="false" outlineLevel="0" collapsed="false">
      <c r="A61" s="16" t="s">
        <v>53</v>
      </c>
      <c r="B61" s="14" t="s">
        <v>198</v>
      </c>
      <c r="C61" s="53" t="n">
        <f aca="false">C60*C54</f>
        <v>357504</v>
      </c>
      <c r="D61" s="53" t="n">
        <f aca="false">D60*D54</f>
        <v>362866.56</v>
      </c>
      <c r="E61" s="53" t="n">
        <f aca="false">E60*E54</f>
        <v>368309.5584</v>
      </c>
      <c r="F61" s="53" t="n">
        <f aca="false">F60*F54</f>
        <v>373834.201776</v>
      </c>
      <c r="G61" s="53" t="n">
        <f aca="false">G60*G54</f>
        <v>379441.71480264</v>
      </c>
      <c r="H61" s="53" t="n">
        <f aca="false">H60*H54</f>
        <v>385133.340524679</v>
      </c>
      <c r="I61" s="53" t="n">
        <f aca="false">I60*I54</f>
        <v>390910.34063255</v>
      </c>
      <c r="J61" s="53" t="n">
        <f aca="false">J60*J54</f>
        <v>396773.995742038</v>
      </c>
      <c r="K61" s="53" t="n">
        <f aca="false">K60*K54</f>
        <v>402725.605678168</v>
      </c>
      <c r="L61" s="53" t="n">
        <f aca="false">L60*L54</f>
        <v>408766.489763341</v>
      </c>
      <c r="M61" s="53" t="n">
        <f aca="false">M60*M54</f>
        <v>414897.987109791</v>
      </c>
      <c r="N61" s="53" t="n">
        <f aca="false">N60*N54</f>
        <v>421121.456916438</v>
      </c>
      <c r="O61" s="33" t="n">
        <f aca="false">SUM(C61:N61)</f>
        <v>4662285.25134564</v>
      </c>
    </row>
    <row r="62" customFormat="false" ht="15" hidden="false" customHeight="false" outlineLevel="0" collapsed="false">
      <c r="A62" s="16" t="s">
        <v>199</v>
      </c>
      <c r="B62" s="14" t="s">
        <v>198</v>
      </c>
      <c r="C62" s="53" t="n">
        <f aca="false">C58*Assumptions!$C$22*C56</f>
        <v>255360</v>
      </c>
      <c r="D62" s="53" t="n">
        <f aca="false">D58*Assumptions!$C$22*D56</f>
        <v>255360</v>
      </c>
      <c r="E62" s="53" t="n">
        <f aca="false">E58*Assumptions!$C$22*E56</f>
        <v>255360</v>
      </c>
      <c r="F62" s="53" t="n">
        <f aca="false">F58*Assumptions!$C$22*F56</f>
        <v>255360</v>
      </c>
      <c r="G62" s="53" t="n">
        <f aca="false">G58*Assumptions!$C$22*G56</f>
        <v>255360</v>
      </c>
      <c r="H62" s="53" t="n">
        <f aca="false">H58*Assumptions!$C$22*H56</f>
        <v>255360</v>
      </c>
      <c r="I62" s="53" t="n">
        <f aca="false">I58*Assumptions!$C$22*I56</f>
        <v>255360</v>
      </c>
      <c r="J62" s="53" t="n">
        <f aca="false">J58*Assumptions!$C$22*J56</f>
        <v>255360</v>
      </c>
      <c r="K62" s="53" t="n">
        <f aca="false">K58*Assumptions!$C$22*K56</f>
        <v>255360</v>
      </c>
      <c r="L62" s="53" t="n">
        <f aca="false">L58*Assumptions!$C$22*L56</f>
        <v>255360</v>
      </c>
      <c r="M62" s="53" t="n">
        <f aca="false">M58*Assumptions!$C$22*M56</f>
        <v>255360</v>
      </c>
      <c r="N62" s="53" t="n">
        <f aca="false">N58*Assumptions!$C$22*N56</f>
        <v>255360</v>
      </c>
      <c r="O62" s="33" t="n">
        <f aca="false">SUM(C62:N62)</f>
        <v>3064320</v>
      </c>
    </row>
    <row r="63" customFormat="false" ht="15" hidden="false" customHeight="false" outlineLevel="0" collapsed="false">
      <c r="A63" s="16" t="s">
        <v>57</v>
      </c>
      <c r="B63" s="14" t="s">
        <v>198</v>
      </c>
      <c r="C63" s="53" t="n">
        <f aca="false">C60*Assumptions!$C$23*C56</f>
        <v>24514.56</v>
      </c>
      <c r="D63" s="53" t="n">
        <f aca="false">D60*Assumptions!$C$23*D56</f>
        <v>24882.2784</v>
      </c>
      <c r="E63" s="53" t="n">
        <f aca="false">E60*Assumptions!$C$23*E56</f>
        <v>25255.512576</v>
      </c>
      <c r="F63" s="53" t="n">
        <f aca="false">F60*Assumptions!$C$23*F56</f>
        <v>25634.34526464</v>
      </c>
      <c r="G63" s="53" t="n">
        <f aca="false">G60*Assumptions!$C$23*G56</f>
        <v>26018.8604436096</v>
      </c>
      <c r="H63" s="53" t="n">
        <f aca="false">H60*Assumptions!$C$23*H56</f>
        <v>26409.1433502637</v>
      </c>
      <c r="I63" s="53" t="n">
        <f aca="false">I60*Assumptions!$C$23*I56</f>
        <v>26805.2805005177</v>
      </c>
      <c r="J63" s="53" t="n">
        <f aca="false">J60*Assumptions!$C$23*J56</f>
        <v>27207.3597080254</v>
      </c>
      <c r="K63" s="53" t="n">
        <f aca="false">K60*Assumptions!$C$23*K56</f>
        <v>27615.4701036458</v>
      </c>
      <c r="L63" s="53" t="n">
        <f aca="false">L60*Assumptions!$C$23*L56</f>
        <v>28029.7021552005</v>
      </c>
      <c r="M63" s="53" t="n">
        <f aca="false">M60*Assumptions!$C$23*M56</f>
        <v>28450.1476875285</v>
      </c>
      <c r="N63" s="53" t="n">
        <f aca="false">N60*Assumptions!$C$23*N56</f>
        <v>28876.8999028414</v>
      </c>
      <c r="O63" s="33" t="n">
        <f aca="false">SUM(C63:N63)</f>
        <v>319699.560092273</v>
      </c>
    </row>
    <row r="64" customFormat="false" ht="15" hidden="false" customHeight="false" outlineLevel="0" collapsed="false">
      <c r="A64" s="16" t="s">
        <v>200</v>
      </c>
      <c r="B64" s="14" t="s">
        <v>198</v>
      </c>
      <c r="C64" s="53" t="n">
        <f aca="false">C62+C63</f>
        <v>279874.56</v>
      </c>
      <c r="D64" s="53" t="n">
        <f aca="false">D62+D63</f>
        <v>280242.2784</v>
      </c>
      <c r="E64" s="53" t="n">
        <f aca="false">E62+E63</f>
        <v>280615.512576</v>
      </c>
      <c r="F64" s="53" t="n">
        <f aca="false">F62+F63</f>
        <v>280994.34526464</v>
      </c>
      <c r="G64" s="53" t="n">
        <f aca="false">G62+G63</f>
        <v>281378.86044361</v>
      </c>
      <c r="H64" s="53" t="n">
        <f aca="false">H62+H63</f>
        <v>281769.143350264</v>
      </c>
      <c r="I64" s="53" t="n">
        <f aca="false">I62+I63</f>
        <v>282165.280500518</v>
      </c>
      <c r="J64" s="53" t="n">
        <f aca="false">J62+J63</f>
        <v>282567.359708025</v>
      </c>
      <c r="K64" s="53" t="n">
        <f aca="false">K62+K63</f>
        <v>282975.470103646</v>
      </c>
      <c r="L64" s="53" t="n">
        <f aca="false">L62+L63</f>
        <v>283389.702155201</v>
      </c>
      <c r="M64" s="53" t="n">
        <f aca="false">M62+M63</f>
        <v>283810.147687529</v>
      </c>
      <c r="N64" s="53" t="n">
        <f aca="false">N62+N63</f>
        <v>284236.899902841</v>
      </c>
      <c r="O64" s="33" t="n">
        <f aca="false">SUM(C64:N64)</f>
        <v>3384019.56009227</v>
      </c>
    </row>
    <row r="65" customFormat="false" ht="15" hidden="false" customHeight="false" outlineLevel="0" collapsed="false">
      <c r="A65" s="16" t="s">
        <v>59</v>
      </c>
      <c r="B65" s="14" t="s">
        <v>198</v>
      </c>
      <c r="C65" s="53" t="n">
        <f aca="false">C61-C64</f>
        <v>77629.44</v>
      </c>
      <c r="D65" s="53" t="n">
        <f aca="false">D61-D64</f>
        <v>82624.2816</v>
      </c>
      <c r="E65" s="53" t="n">
        <f aca="false">E61-E64</f>
        <v>87694.0458239999</v>
      </c>
      <c r="F65" s="53" t="n">
        <f aca="false">F61-F64</f>
        <v>92839.8565113599</v>
      </c>
      <c r="G65" s="53" t="n">
        <f aca="false">G61-G64</f>
        <v>98062.8543590303</v>
      </c>
      <c r="H65" s="53" t="n">
        <f aca="false">H61-H64</f>
        <v>103364.197174416</v>
      </c>
      <c r="I65" s="53" t="n">
        <f aca="false">I61-I64</f>
        <v>108745.060132032</v>
      </c>
      <c r="J65" s="53" t="n">
        <f aca="false">J61-J64</f>
        <v>114206.636034012</v>
      </c>
      <c r="K65" s="53" t="n">
        <f aca="false">K61-K64</f>
        <v>119750.135574522</v>
      </c>
      <c r="L65" s="53" t="n">
        <f aca="false">L61-L64</f>
        <v>125376.78760814</v>
      </c>
      <c r="M65" s="53" t="n">
        <f aca="false">M61-M64</f>
        <v>131087.839422262</v>
      </c>
      <c r="N65" s="53" t="n">
        <f aca="false">N61-N64</f>
        <v>136884.557013596</v>
      </c>
      <c r="O65" s="33" t="n">
        <f aca="false">SUM(C65:N65)</f>
        <v>1278265.69125337</v>
      </c>
    </row>
    <row r="66" customFormat="false" ht="15" hidden="false" customHeight="false" outlineLevel="0" collapsed="false">
      <c r="A66" s="16" t="s">
        <v>207</v>
      </c>
      <c r="B66" s="14" t="s">
        <v>198</v>
      </c>
      <c r="C66" s="53" t="n">
        <f aca="false">Assumptions!$C$24*C56</f>
        <v>90000</v>
      </c>
      <c r="D66" s="53" t="n">
        <f aca="false">Assumptions!$C$24*D56</f>
        <v>90000</v>
      </c>
      <c r="E66" s="53" t="n">
        <f aca="false">Assumptions!$C$24*E56</f>
        <v>90000</v>
      </c>
      <c r="F66" s="53" t="n">
        <f aca="false">Assumptions!$C$24*F56</f>
        <v>90000</v>
      </c>
      <c r="G66" s="53" t="n">
        <f aca="false">Assumptions!$C$24*G56</f>
        <v>90000</v>
      </c>
      <c r="H66" s="53" t="n">
        <f aca="false">Assumptions!$C$24*H56</f>
        <v>90000</v>
      </c>
      <c r="I66" s="53" t="n">
        <f aca="false">Assumptions!$C$24*I56</f>
        <v>90000</v>
      </c>
      <c r="J66" s="53" t="n">
        <f aca="false">Assumptions!$C$24*J56</f>
        <v>90000</v>
      </c>
      <c r="K66" s="53" t="n">
        <f aca="false">Assumptions!$C$24*K56</f>
        <v>90000</v>
      </c>
      <c r="L66" s="53" t="n">
        <f aca="false">Assumptions!$C$24*L56</f>
        <v>90000</v>
      </c>
      <c r="M66" s="53" t="n">
        <f aca="false">Assumptions!$C$24*M56</f>
        <v>90000</v>
      </c>
      <c r="N66" s="53" t="n">
        <f aca="false">Assumptions!$C$24*N56</f>
        <v>90000</v>
      </c>
      <c r="O66" s="33" t="n">
        <f aca="false">SUM(C66:N66)</f>
        <v>1080000</v>
      </c>
    </row>
    <row r="67" customFormat="false" ht="15" hidden="false" customHeight="false" outlineLevel="0" collapsed="false">
      <c r="A67" s="16" t="s">
        <v>208</v>
      </c>
      <c r="B67" s="14" t="s">
        <v>198</v>
      </c>
      <c r="C67" s="53" t="n">
        <f aca="false">C65-C66</f>
        <v>-12370.56</v>
      </c>
      <c r="D67" s="53" t="n">
        <f aca="false">D65-D66</f>
        <v>-7375.71840000001</v>
      </c>
      <c r="E67" s="53" t="n">
        <f aca="false">E65-E66</f>
        <v>-2305.95417600009</v>
      </c>
      <c r="F67" s="53" t="n">
        <f aca="false">F65-F66</f>
        <v>2839.85651135986</v>
      </c>
      <c r="G67" s="53" t="n">
        <f aca="false">G65-G66</f>
        <v>8062.85435903032</v>
      </c>
      <c r="H67" s="53" t="n">
        <f aca="false">H65-H66</f>
        <v>13364.1971744157</v>
      </c>
      <c r="I67" s="53" t="n">
        <f aca="false">I65-I66</f>
        <v>18745.0601320319</v>
      </c>
      <c r="J67" s="53" t="n">
        <f aca="false">J65-J66</f>
        <v>24206.6360340124</v>
      </c>
      <c r="K67" s="53" t="n">
        <f aca="false">K65-K66</f>
        <v>29750.1355745225</v>
      </c>
      <c r="L67" s="53" t="n">
        <f aca="false">L65-L66</f>
        <v>35376.7876081403</v>
      </c>
      <c r="M67" s="53" t="n">
        <f aca="false">M65-M66</f>
        <v>41087.8394222623</v>
      </c>
      <c r="N67" s="53" t="n">
        <f aca="false">N65-N66</f>
        <v>46884.5570135962</v>
      </c>
      <c r="O67" s="33" t="n">
        <f aca="false">SUM(C67:N67)</f>
        <v>198265.691253371</v>
      </c>
    </row>
    <row r="68" customFormat="false" ht="15" hidden="false" customHeight="false" outlineLevel="0" collapsed="false">
      <c r="A68" s="16" t="s">
        <v>302</v>
      </c>
      <c r="B68" s="14" t="s">
        <v>198</v>
      </c>
      <c r="C68" s="53" t="n">
        <f aca="false">C59*(C54-Assumptions!$C$23*C56)</f>
        <v>554982.4</v>
      </c>
      <c r="D68" s="53" t="n">
        <f aca="false">D59*(D54-Assumptions!$C$23*D56)</f>
        <v>554982.4</v>
      </c>
      <c r="E68" s="53" t="n">
        <f aca="false">E59*(E54-Assumptions!$C$23*E56)</f>
        <v>554982.4</v>
      </c>
      <c r="F68" s="53" t="n">
        <f aca="false">F59*(F54-Assumptions!$C$23*F56)</f>
        <v>554982.4</v>
      </c>
      <c r="G68" s="53" t="n">
        <f aca="false">G59*(G54-Assumptions!$C$23*G56)</f>
        <v>554982.4</v>
      </c>
      <c r="H68" s="53" t="n">
        <f aca="false">H59*(H54-Assumptions!$C$23*H56)</f>
        <v>554982.4</v>
      </c>
      <c r="I68" s="53" t="n">
        <f aca="false">I59*(I54-Assumptions!$C$23*I56)</f>
        <v>554982.4</v>
      </c>
      <c r="J68" s="53" t="n">
        <f aca="false">J59*(J54-Assumptions!$C$23*J56)</f>
        <v>554982.4</v>
      </c>
      <c r="K68" s="53" t="n">
        <f aca="false">K59*(K54-Assumptions!$C$23*K56)</f>
        <v>554982.4</v>
      </c>
      <c r="L68" s="53" t="n">
        <f aca="false">L59*(L54-Assumptions!$C$23*L56)</f>
        <v>554982.4</v>
      </c>
      <c r="M68" s="53" t="n">
        <f aca="false">M59*(M54-Assumptions!$C$23*M56)</f>
        <v>554982.4</v>
      </c>
      <c r="N68" s="53" t="n">
        <f aca="false">N59*(N54-Assumptions!$C$23*N56)</f>
        <v>554982.4</v>
      </c>
      <c r="O68" s="33" t="n">
        <f aca="false">SUM(C68:N68)</f>
        <v>6659788.8</v>
      </c>
    </row>
    <row r="70" customFormat="false" ht="19.5" hidden="false" customHeight="true" outlineLevel="0" collapsed="false">
      <c r="A70" s="18" t="s">
        <v>303</v>
      </c>
      <c r="B70" s="19" t="s">
        <v>90</v>
      </c>
      <c r="C70" s="19" t="s">
        <v>155</v>
      </c>
      <c r="D70" s="19" t="s">
        <v>156</v>
      </c>
      <c r="E70" s="19" t="s">
        <v>157</v>
      </c>
      <c r="F70" s="19" t="s">
        <v>158</v>
      </c>
      <c r="G70" s="19" t="s">
        <v>159</v>
      </c>
      <c r="H70" s="19" t="s">
        <v>160</v>
      </c>
      <c r="I70" s="19" t="s">
        <v>161</v>
      </c>
      <c r="J70" s="19" t="s">
        <v>162</v>
      </c>
      <c r="K70" s="19" t="s">
        <v>163</v>
      </c>
      <c r="L70" s="19" t="s">
        <v>164</v>
      </c>
      <c r="M70" s="19" t="s">
        <v>165</v>
      </c>
      <c r="N70" s="19" t="s">
        <v>166</v>
      </c>
      <c r="O70" s="19" t="s">
        <v>167</v>
      </c>
      <c r="P70" s="19"/>
    </row>
    <row r="71" customFormat="false" ht="15" hidden="false" customHeight="false" outlineLevel="0" collapsed="false">
      <c r="A71" s="16" t="s">
        <v>169</v>
      </c>
      <c r="C71" s="17" t="n">
        <v>1</v>
      </c>
      <c r="D71" s="17" t="n">
        <f aca="false">C71+1</f>
        <v>2</v>
      </c>
      <c r="E71" s="17" t="n">
        <f aca="false">D71+1</f>
        <v>3</v>
      </c>
      <c r="F71" s="17" t="n">
        <f aca="false">E71+1</f>
        <v>4</v>
      </c>
      <c r="G71" s="17" t="n">
        <f aca="false">F71+1</f>
        <v>5</v>
      </c>
      <c r="H71" s="17" t="n">
        <f aca="false">G71+1</f>
        <v>6</v>
      </c>
      <c r="I71" s="17" t="n">
        <f aca="false">H71+1</f>
        <v>7</v>
      </c>
      <c r="J71" s="17" t="n">
        <f aca="false">I71+1</f>
        <v>8</v>
      </c>
      <c r="K71" s="17" t="n">
        <f aca="false">J71+1</f>
        <v>9</v>
      </c>
      <c r="L71" s="17" t="n">
        <f aca="false">K71+1</f>
        <v>10</v>
      </c>
      <c r="M71" s="17" t="n">
        <f aca="false">L71+1</f>
        <v>11</v>
      </c>
      <c r="N71" s="17" t="n">
        <f aca="false">M71+1</f>
        <v>12</v>
      </c>
    </row>
    <row r="72" customFormat="false" ht="15" hidden="false" customHeight="false" outlineLevel="0" collapsed="false">
      <c r="A72" s="16" t="s">
        <v>196</v>
      </c>
      <c r="B72" s="14" t="s">
        <v>121</v>
      </c>
      <c r="C72" s="49" t="n">
        <f aca="false">Assumptions!$D$20*(1+Assumptions!$D$27)^(C$71-1)</f>
        <v>190</v>
      </c>
      <c r="D72" s="49" t="n">
        <f aca="false">Assumptions!$D$20*(1+Assumptions!$D$27)^(D$71-1)</f>
        <v>190.475</v>
      </c>
      <c r="E72" s="49" t="n">
        <f aca="false">Assumptions!$D$20*(1+Assumptions!$D$27)^(E$71-1)</f>
        <v>190.9511875</v>
      </c>
      <c r="F72" s="49" t="n">
        <f aca="false">Assumptions!$D$20*(1+Assumptions!$D$27)^(F$71-1)</f>
        <v>191.42856546875</v>
      </c>
      <c r="G72" s="49" t="n">
        <f aca="false">Assumptions!$D$20*(1+Assumptions!$D$27)^(G$71-1)</f>
        <v>191.907136882422</v>
      </c>
      <c r="H72" s="49" t="n">
        <f aca="false">Assumptions!$D$20*(1+Assumptions!$D$27)^(H$71-1)</f>
        <v>192.386904724628</v>
      </c>
      <c r="I72" s="49" t="n">
        <f aca="false">Assumptions!$D$20*(1+Assumptions!$D$27)^(I$71-1)</f>
        <v>192.867871986439</v>
      </c>
      <c r="J72" s="49" t="n">
        <f aca="false">Assumptions!$D$20*(1+Assumptions!$D$27)^(J$71-1)</f>
        <v>193.350041666406</v>
      </c>
      <c r="K72" s="49" t="n">
        <f aca="false">Assumptions!$D$20*(1+Assumptions!$D$27)^(K$71-1)</f>
        <v>193.833416770572</v>
      </c>
      <c r="L72" s="49" t="n">
        <f aca="false">Assumptions!$D$20*(1+Assumptions!$D$27)^(L$71-1)</f>
        <v>194.318000312498</v>
      </c>
      <c r="M72" s="49" t="n">
        <f aca="false">Assumptions!$D$20*(1+Assumptions!$D$27)^(M$71-1)</f>
        <v>194.803795313279</v>
      </c>
      <c r="N72" s="49" t="n">
        <f aca="false">Assumptions!$D$20*(1+Assumptions!$D$27)^(N$71-1)</f>
        <v>195.290804801562</v>
      </c>
      <c r="O72" s="38"/>
    </row>
    <row r="73" customFormat="false" ht="15" hidden="false" customHeight="false" outlineLevel="0" collapsed="false">
      <c r="A73" s="16" t="s">
        <v>183</v>
      </c>
      <c r="B73" s="14" t="s">
        <v>124</v>
      </c>
      <c r="C73" s="48" t="n">
        <f aca="false">MIN(1,MAX(0,Assumptions!$D$21*(1+Assumptions!$D$28)^(C$71-1)))</f>
        <v>0.68</v>
      </c>
      <c r="D73" s="48" t="n">
        <f aca="false">MIN(1,MAX(0,Assumptions!$D$21*(1+Assumptions!$D$28)^(D$71-1)))</f>
        <v>0.6936</v>
      </c>
      <c r="E73" s="48" t="n">
        <f aca="false">MIN(1,MAX(0,Assumptions!$D$21*(1+Assumptions!$D$28)^(E$71-1)))</f>
        <v>0.707472</v>
      </c>
      <c r="F73" s="48" t="n">
        <f aca="false">MIN(1,MAX(0,Assumptions!$D$21*(1+Assumptions!$D$28)^(F$71-1)))</f>
        <v>0.72162144</v>
      </c>
      <c r="G73" s="48" t="n">
        <f aca="false">MIN(1,MAX(0,Assumptions!$D$21*(1+Assumptions!$D$28)^(G$71-1)))</f>
        <v>0.7360538688</v>
      </c>
      <c r="H73" s="48" t="n">
        <f aca="false">MIN(1,MAX(0,Assumptions!$D$21*(1+Assumptions!$D$28)^(H$71-1)))</f>
        <v>0.750774946176</v>
      </c>
      <c r="I73" s="48" t="n">
        <f aca="false">MIN(1,MAX(0,Assumptions!$D$21*(1+Assumptions!$D$28)^(I$71-1)))</f>
        <v>0.76579044509952</v>
      </c>
      <c r="J73" s="48" t="n">
        <f aca="false">MIN(1,MAX(0,Assumptions!$D$21*(1+Assumptions!$D$28)^(J$71-1)))</f>
        <v>0.781106254001511</v>
      </c>
      <c r="K73" s="48" t="n">
        <f aca="false">MIN(1,MAX(0,Assumptions!$D$21*(1+Assumptions!$D$28)^(K$71-1)))</f>
        <v>0.796728379081541</v>
      </c>
      <c r="L73" s="48" t="n">
        <f aca="false">MIN(1,MAX(0,Assumptions!$D$21*(1+Assumptions!$D$28)^(L$71-1)))</f>
        <v>0.812662946663172</v>
      </c>
      <c r="M73" s="48" t="n">
        <f aca="false">MIN(1,MAX(0,Assumptions!$D$21*(1+Assumptions!$D$28)^(M$71-1)))</f>
        <v>0.828916205596435</v>
      </c>
      <c r="N73" s="48" t="n">
        <f aca="false">MIN(1,MAX(0,Assumptions!$D$21*(1+Assumptions!$D$28)^(N$71-1)))</f>
        <v>0.845494529708364</v>
      </c>
      <c r="O73" s="38"/>
    </row>
    <row r="74" customFormat="false" ht="15" hidden="false" customHeight="false" outlineLevel="0" collapsed="false">
      <c r="A74" s="16" t="s">
        <v>181</v>
      </c>
      <c r="B74" s="14" t="s">
        <v>179</v>
      </c>
      <c r="C74" s="45" t="n">
        <f aca="false">(1+Assumptions!$D$29)^(C$71-1)</f>
        <v>1</v>
      </c>
      <c r="D74" s="45" t="n">
        <f aca="false">(1+Assumptions!$D$29)^(D$71-1)</f>
        <v>0.9975</v>
      </c>
      <c r="E74" s="45" t="n">
        <f aca="false">(1+Assumptions!$D$29)^(E$71-1)</f>
        <v>0.99500625</v>
      </c>
      <c r="F74" s="45" t="n">
        <f aca="false">(1+Assumptions!$D$29)^(F$71-1)</f>
        <v>0.992518734375</v>
      </c>
      <c r="G74" s="45" t="n">
        <f aca="false">(1+Assumptions!$D$29)^(G$71-1)</f>
        <v>0.990037437539063</v>
      </c>
      <c r="H74" s="45" t="n">
        <f aca="false">(1+Assumptions!$D$29)^(H$71-1)</f>
        <v>0.987562343945215</v>
      </c>
      <c r="I74" s="45" t="n">
        <f aca="false">(1+Assumptions!$D$29)^(I$71-1)</f>
        <v>0.985093438085352</v>
      </c>
      <c r="J74" s="45" t="n">
        <f aca="false">(1+Assumptions!$D$29)^(J$71-1)</f>
        <v>0.982630704490139</v>
      </c>
      <c r="K74" s="45" t="n">
        <f aca="false">(1+Assumptions!$D$29)^(K$71-1)</f>
        <v>0.980174127728914</v>
      </c>
      <c r="L74" s="45" t="n">
        <f aca="false">(1+Assumptions!$D$29)^(L$71-1)</f>
        <v>0.977723692409591</v>
      </c>
      <c r="M74" s="45" t="n">
        <f aca="false">(1+Assumptions!$D$29)^(M$71-1)</f>
        <v>0.975279383178567</v>
      </c>
      <c r="N74" s="45" t="n">
        <f aca="false">(1+Assumptions!$D$29)^(N$71-1)</f>
        <v>0.972841184720621</v>
      </c>
      <c r="O74" s="38"/>
    </row>
    <row r="75" customFormat="false" ht="15" hidden="false" customHeight="false" outlineLevel="0" collapsed="false">
      <c r="A75" s="16" t="s">
        <v>45</v>
      </c>
      <c r="B75" s="14" t="s">
        <v>191</v>
      </c>
      <c r="C75" s="50" t="n">
        <f aca="false">Assumptions!$F$16*Assumptions!$F$15</f>
        <v>896</v>
      </c>
      <c r="D75" s="50" t="n">
        <f aca="false">Assumptions!$F$16*Assumptions!$F$15</f>
        <v>896</v>
      </c>
      <c r="E75" s="50" t="n">
        <f aca="false">Assumptions!$F$16*Assumptions!$F$15</f>
        <v>896</v>
      </c>
      <c r="F75" s="50" t="n">
        <f aca="false">Assumptions!$F$16*Assumptions!$F$15</f>
        <v>896</v>
      </c>
      <c r="G75" s="50" t="n">
        <f aca="false">Assumptions!$F$16*Assumptions!$F$15</f>
        <v>896</v>
      </c>
      <c r="H75" s="50" t="n">
        <f aca="false">Assumptions!$F$16*Assumptions!$F$15</f>
        <v>896</v>
      </c>
      <c r="I75" s="50" t="n">
        <f aca="false">Assumptions!$F$16*Assumptions!$F$15</f>
        <v>896</v>
      </c>
      <c r="J75" s="50" t="n">
        <f aca="false">Assumptions!$F$16*Assumptions!$F$15</f>
        <v>896</v>
      </c>
      <c r="K75" s="50" t="n">
        <f aca="false">Assumptions!$F$16*Assumptions!$F$15</f>
        <v>896</v>
      </c>
      <c r="L75" s="50" t="n">
        <f aca="false">Assumptions!$F$16*Assumptions!$F$15</f>
        <v>896</v>
      </c>
      <c r="M75" s="50" t="n">
        <f aca="false">Assumptions!$F$16*Assumptions!$F$15</f>
        <v>896</v>
      </c>
      <c r="N75" s="50" t="n">
        <f aca="false">Assumptions!$F$16*Assumptions!$F$15</f>
        <v>896</v>
      </c>
      <c r="O75" s="42" t="n">
        <f aca="false">SUM(C75:N75)</f>
        <v>10752</v>
      </c>
    </row>
    <row r="76" customFormat="false" ht="15" hidden="false" customHeight="false" outlineLevel="0" collapsed="false">
      <c r="A76" s="16" t="s">
        <v>47</v>
      </c>
      <c r="B76" s="14" t="s">
        <v>191</v>
      </c>
      <c r="C76" s="50" t="n">
        <f aca="false">C75*Assumptions!$D$19</f>
        <v>869.12</v>
      </c>
      <c r="D76" s="50" t="n">
        <f aca="false">D75*Assumptions!$D$19</f>
        <v>869.12</v>
      </c>
      <c r="E76" s="50" t="n">
        <f aca="false">E75*Assumptions!$D$19</f>
        <v>869.12</v>
      </c>
      <c r="F76" s="50" t="n">
        <f aca="false">F75*Assumptions!$D$19</f>
        <v>869.12</v>
      </c>
      <c r="G76" s="50" t="n">
        <f aca="false">G75*Assumptions!$D$19</f>
        <v>869.12</v>
      </c>
      <c r="H76" s="50" t="n">
        <f aca="false">H75*Assumptions!$D$19</f>
        <v>869.12</v>
      </c>
      <c r="I76" s="50" t="n">
        <f aca="false">I75*Assumptions!$D$19</f>
        <v>869.12</v>
      </c>
      <c r="J76" s="50" t="n">
        <f aca="false">J75*Assumptions!$D$19</f>
        <v>869.12</v>
      </c>
      <c r="K76" s="50" t="n">
        <f aca="false">K75*Assumptions!$D$19</f>
        <v>869.12</v>
      </c>
      <c r="L76" s="50" t="n">
        <f aca="false">L75*Assumptions!$D$19</f>
        <v>869.12</v>
      </c>
      <c r="M76" s="50" t="n">
        <f aca="false">M75*Assumptions!$D$19</f>
        <v>869.12</v>
      </c>
      <c r="N76" s="50" t="n">
        <f aca="false">N75*Assumptions!$D$19</f>
        <v>869.12</v>
      </c>
      <c r="O76" s="42" t="n">
        <f aca="false">SUM(C76:N76)</f>
        <v>10429.44</v>
      </c>
    </row>
    <row r="77" customFormat="false" ht="15" hidden="false" customHeight="false" outlineLevel="0" collapsed="false">
      <c r="A77" s="16" t="s">
        <v>192</v>
      </c>
      <c r="B77" s="14" t="s">
        <v>193</v>
      </c>
      <c r="C77" s="50" t="n">
        <f aca="false">C76*Assumptions!$F$14</f>
        <v>3476.48</v>
      </c>
      <c r="D77" s="50" t="n">
        <f aca="false">D76*Assumptions!$F$14</f>
        <v>3476.48</v>
      </c>
      <c r="E77" s="50" t="n">
        <f aca="false">E76*Assumptions!$F$14</f>
        <v>3476.48</v>
      </c>
      <c r="F77" s="50" t="n">
        <f aca="false">F76*Assumptions!$F$14</f>
        <v>3476.48</v>
      </c>
      <c r="G77" s="50" t="n">
        <f aca="false">G76*Assumptions!$F$14</f>
        <v>3476.48</v>
      </c>
      <c r="H77" s="50" t="n">
        <f aca="false">H76*Assumptions!$F$14</f>
        <v>3476.48</v>
      </c>
      <c r="I77" s="50" t="n">
        <f aca="false">I76*Assumptions!$F$14</f>
        <v>3476.48</v>
      </c>
      <c r="J77" s="50" t="n">
        <f aca="false">J76*Assumptions!$F$14</f>
        <v>3476.48</v>
      </c>
      <c r="K77" s="50" t="n">
        <f aca="false">K76*Assumptions!$F$14</f>
        <v>3476.48</v>
      </c>
      <c r="L77" s="50" t="n">
        <f aca="false">L76*Assumptions!$F$14</f>
        <v>3476.48</v>
      </c>
      <c r="M77" s="50" t="n">
        <f aca="false">M76*Assumptions!$F$14</f>
        <v>3476.48</v>
      </c>
      <c r="N77" s="50" t="n">
        <f aca="false">N76*Assumptions!$F$14</f>
        <v>3476.48</v>
      </c>
      <c r="O77" s="42" t="n">
        <f aca="false">SUM(C77:N77)</f>
        <v>41717.76</v>
      </c>
    </row>
    <row r="78" customFormat="false" ht="15" hidden="false" customHeight="false" outlineLevel="0" collapsed="false">
      <c r="A78" s="16" t="s">
        <v>51</v>
      </c>
      <c r="B78" s="14" t="s">
        <v>194</v>
      </c>
      <c r="C78" s="50" t="n">
        <f aca="false">C77*C73</f>
        <v>2364.0064</v>
      </c>
      <c r="D78" s="50" t="n">
        <f aca="false">D77*D73</f>
        <v>2411.286528</v>
      </c>
      <c r="E78" s="50" t="n">
        <f aca="false">E77*E73</f>
        <v>2459.51225856</v>
      </c>
      <c r="F78" s="50" t="n">
        <f aca="false">F77*F73</f>
        <v>2508.7025037312</v>
      </c>
      <c r="G78" s="50" t="n">
        <f aca="false">G77*G73</f>
        <v>2558.87655380582</v>
      </c>
      <c r="H78" s="50" t="n">
        <f aca="false">H77*H73</f>
        <v>2610.05408488194</v>
      </c>
      <c r="I78" s="50" t="n">
        <f aca="false">I77*I73</f>
        <v>2662.25516657958</v>
      </c>
      <c r="J78" s="50" t="n">
        <f aca="false">J77*J73</f>
        <v>2715.50026991117</v>
      </c>
      <c r="K78" s="50" t="n">
        <f aca="false">K77*K73</f>
        <v>2769.8102753094</v>
      </c>
      <c r="L78" s="50" t="n">
        <f aca="false">L77*L73</f>
        <v>2825.20648081558</v>
      </c>
      <c r="M78" s="50" t="n">
        <f aca="false">M77*M73</f>
        <v>2881.71061043189</v>
      </c>
      <c r="N78" s="50" t="n">
        <f aca="false">N77*N73</f>
        <v>2939.34482264053</v>
      </c>
      <c r="O78" s="42" t="n">
        <f aca="false">SUM(C78:N78)</f>
        <v>31706.2659546671</v>
      </c>
    </row>
    <row r="79" customFormat="false" ht="15" hidden="false" customHeight="false" outlineLevel="0" collapsed="false">
      <c r="A79" s="16" t="s">
        <v>53</v>
      </c>
      <c r="B79" s="14" t="s">
        <v>198</v>
      </c>
      <c r="C79" s="53" t="n">
        <f aca="false">C78*C72</f>
        <v>449161.216</v>
      </c>
      <c r="D79" s="53" t="n">
        <f aca="false">D78*D72</f>
        <v>459289.8014208</v>
      </c>
      <c r="E79" s="53" t="n">
        <f aca="false">E78*E72</f>
        <v>469646.786442839</v>
      </c>
      <c r="F79" s="53" t="n">
        <f aca="false">F78*F72</f>
        <v>480237.321477125</v>
      </c>
      <c r="G79" s="53" t="n">
        <f aca="false">G78*G72</f>
        <v>491066.673076434</v>
      </c>
      <c r="H79" s="53" t="n">
        <f aca="false">H78*H72</f>
        <v>502140.226554308</v>
      </c>
      <c r="I79" s="53" t="n">
        <f aca="false">I78*I72</f>
        <v>513463.488663107</v>
      </c>
      <c r="J79" s="53" t="n">
        <f aca="false">J78*J72</f>
        <v>525042.09033246</v>
      </c>
      <c r="K79" s="53" t="n">
        <f aca="false">K78*K72</f>
        <v>536881.789469458</v>
      </c>
      <c r="L79" s="53" t="n">
        <f aca="false">L78*L72</f>
        <v>548988.473821994</v>
      </c>
      <c r="M79" s="53" t="n">
        <f aca="false">M78*M72</f>
        <v>561368.16390668</v>
      </c>
      <c r="N79" s="53" t="n">
        <f aca="false">N78*N72</f>
        <v>574027.016002775</v>
      </c>
      <c r="O79" s="33" t="n">
        <f aca="false">SUM(C79:N79)</f>
        <v>6111313.04716798</v>
      </c>
    </row>
    <row r="80" customFormat="false" ht="15" hidden="false" customHeight="false" outlineLevel="0" collapsed="false">
      <c r="A80" s="16" t="s">
        <v>199</v>
      </c>
      <c r="B80" s="14" t="s">
        <v>198</v>
      </c>
      <c r="C80" s="53" t="n">
        <f aca="false">C76*Assumptions!$D$22*C74</f>
        <v>243353.6</v>
      </c>
      <c r="D80" s="53" t="n">
        <f aca="false">D76*Assumptions!$D$22*D74</f>
        <v>242745.216</v>
      </c>
      <c r="E80" s="53" t="n">
        <f aca="false">E76*Assumptions!$D$22*E74</f>
        <v>242138.35296</v>
      </c>
      <c r="F80" s="53" t="n">
        <f aca="false">F76*Assumptions!$D$22*F74</f>
        <v>241533.0070776</v>
      </c>
      <c r="G80" s="53" t="n">
        <f aca="false">G76*Assumptions!$D$22*G74</f>
        <v>240929.174559906</v>
      </c>
      <c r="H80" s="53" t="n">
        <f aca="false">H76*Assumptions!$D$22*H74</f>
        <v>240326.851623506</v>
      </c>
      <c r="I80" s="53" t="n">
        <f aca="false">I76*Assumptions!$D$22*I74</f>
        <v>239726.034494448</v>
      </c>
      <c r="J80" s="53" t="n">
        <f aca="false">J76*Assumptions!$D$22*J74</f>
        <v>239126.719408211</v>
      </c>
      <c r="K80" s="53" t="n">
        <f aca="false">K76*Assumptions!$D$22*K74</f>
        <v>238528.902609691</v>
      </c>
      <c r="L80" s="53" t="n">
        <f aca="false">L76*Assumptions!$D$22*L74</f>
        <v>237932.580353167</v>
      </c>
      <c r="M80" s="53" t="n">
        <f aca="false">M76*Assumptions!$D$22*M74</f>
        <v>237337.748902284</v>
      </c>
      <c r="N80" s="53" t="n">
        <f aca="false">N76*Assumptions!$D$22*N74</f>
        <v>236744.404530028</v>
      </c>
      <c r="O80" s="33" t="n">
        <f aca="false">SUM(C80:N80)</f>
        <v>2880422.59251884</v>
      </c>
    </row>
    <row r="81" customFormat="false" ht="15" hidden="false" customHeight="false" outlineLevel="0" collapsed="false">
      <c r="A81" s="16" t="s">
        <v>57</v>
      </c>
      <c r="B81" s="14" t="s">
        <v>198</v>
      </c>
      <c r="C81" s="53" t="n">
        <f aca="false">C78*Assumptions!$D$23*C74</f>
        <v>23640.064</v>
      </c>
      <c r="D81" s="53" t="n">
        <f aca="false">D78*Assumptions!$D$23*D74</f>
        <v>24052.5831168</v>
      </c>
      <c r="E81" s="53" t="n">
        <f aca="false">E78*Assumptions!$D$23*E74</f>
        <v>24472.3006921882</v>
      </c>
      <c r="F81" s="53" t="n">
        <f aca="false">F78*Assumptions!$D$23*F74</f>
        <v>24899.3423392669</v>
      </c>
      <c r="G81" s="53" t="n">
        <f aca="false">G78*Assumptions!$D$23*G74</f>
        <v>25333.8358630871</v>
      </c>
      <c r="H81" s="53" t="n">
        <f aca="false">H78*Assumptions!$D$23*H74</f>
        <v>25775.9112988979</v>
      </c>
      <c r="I81" s="53" t="n">
        <f aca="false">I78*Assumptions!$D$23*I74</f>
        <v>26225.7009510637</v>
      </c>
      <c r="J81" s="53" t="n">
        <f aca="false">J78*Assumptions!$D$23*J74</f>
        <v>26683.3394326598</v>
      </c>
      <c r="K81" s="53" t="n">
        <f aca="false">K78*Assumptions!$D$23*K74</f>
        <v>27148.9637057597</v>
      </c>
      <c r="L81" s="53" t="n">
        <f aca="false">L78*Assumptions!$D$23*L74</f>
        <v>27622.7131224252</v>
      </c>
      <c r="M81" s="53" t="n">
        <f aca="false">M78*Assumptions!$D$23*M74</f>
        <v>28104.7294664115</v>
      </c>
      <c r="N81" s="53" t="n">
        <f aca="false">N78*Assumptions!$D$23*N74</f>
        <v>28595.1569956004</v>
      </c>
      <c r="O81" s="33" t="n">
        <f aca="false">SUM(C81:N81)</f>
        <v>312554.64098416</v>
      </c>
    </row>
    <row r="82" customFormat="false" ht="15" hidden="false" customHeight="false" outlineLevel="0" collapsed="false">
      <c r="A82" s="16" t="s">
        <v>200</v>
      </c>
      <c r="B82" s="14" t="s">
        <v>198</v>
      </c>
      <c r="C82" s="53" t="n">
        <f aca="false">C80+C81</f>
        <v>266993.664</v>
      </c>
      <c r="D82" s="53" t="n">
        <f aca="false">D80+D81</f>
        <v>266797.7991168</v>
      </c>
      <c r="E82" s="53" t="n">
        <f aca="false">E80+E81</f>
        <v>266610.653652188</v>
      </c>
      <c r="F82" s="53" t="n">
        <f aca="false">F80+F81</f>
        <v>266432.349416867</v>
      </c>
      <c r="G82" s="53" t="n">
        <f aca="false">G80+G81</f>
        <v>266263.010422993</v>
      </c>
      <c r="H82" s="53" t="n">
        <f aca="false">H80+H81</f>
        <v>266102.762922404</v>
      </c>
      <c r="I82" s="53" t="n">
        <f aca="false">I80+I81</f>
        <v>265951.735445511</v>
      </c>
      <c r="J82" s="53" t="n">
        <f aca="false">J80+J81</f>
        <v>265810.058840871</v>
      </c>
      <c r="K82" s="53" t="n">
        <f aca="false">K80+K81</f>
        <v>265677.866315451</v>
      </c>
      <c r="L82" s="53" t="n">
        <f aca="false">L80+L81</f>
        <v>265555.293475592</v>
      </c>
      <c r="M82" s="53" t="n">
        <f aca="false">M80+M81</f>
        <v>265442.478368695</v>
      </c>
      <c r="N82" s="53" t="n">
        <f aca="false">N80+N81</f>
        <v>265339.561525629</v>
      </c>
      <c r="O82" s="33" t="n">
        <f aca="false">SUM(C82:N82)</f>
        <v>3192977.233503</v>
      </c>
    </row>
    <row r="83" customFormat="false" ht="15" hidden="false" customHeight="false" outlineLevel="0" collapsed="false">
      <c r="A83" s="16" t="s">
        <v>59</v>
      </c>
      <c r="B83" s="14" t="s">
        <v>198</v>
      </c>
      <c r="C83" s="53" t="n">
        <f aca="false">C79-C82</f>
        <v>182167.552</v>
      </c>
      <c r="D83" s="53" t="n">
        <f aca="false">D79-D82</f>
        <v>192492.002304</v>
      </c>
      <c r="E83" s="53" t="n">
        <f aca="false">E79-E82</f>
        <v>203036.132790651</v>
      </c>
      <c r="F83" s="53" t="n">
        <f aca="false">F79-F82</f>
        <v>213804.972060258</v>
      </c>
      <c r="G83" s="53" t="n">
        <f aca="false">G79-G82</f>
        <v>224803.662653441</v>
      </c>
      <c r="H83" s="53" t="n">
        <f aca="false">H79-H82</f>
        <v>236037.463631904</v>
      </c>
      <c r="I83" s="53" t="n">
        <f aca="false">I79-I82</f>
        <v>247511.753217596</v>
      </c>
      <c r="J83" s="53" t="n">
        <f aca="false">J79-J82</f>
        <v>259232.031491589</v>
      </c>
      <c r="K83" s="53" t="n">
        <f aca="false">K79-K82</f>
        <v>271203.923154007</v>
      </c>
      <c r="L83" s="53" t="n">
        <f aca="false">L79-L82</f>
        <v>283433.180346402</v>
      </c>
      <c r="M83" s="53" t="n">
        <f aca="false">M79-M82</f>
        <v>295925.685537984</v>
      </c>
      <c r="N83" s="53" t="n">
        <f aca="false">N79-N82</f>
        <v>308687.454477147</v>
      </c>
      <c r="O83" s="33" t="n">
        <f aca="false">SUM(C83:N83)</f>
        <v>2918335.81366498</v>
      </c>
    </row>
    <row r="84" customFormat="false" ht="15" hidden="false" customHeight="false" outlineLevel="0" collapsed="false">
      <c r="A84" s="16" t="s">
        <v>207</v>
      </c>
      <c r="B84" s="14" t="s">
        <v>198</v>
      </c>
      <c r="C84" s="53" t="n">
        <f aca="false">Assumptions!$D$24*C74</f>
        <v>85000</v>
      </c>
      <c r="D84" s="53" t="n">
        <f aca="false">Assumptions!$D$24*D74</f>
        <v>84787.5</v>
      </c>
      <c r="E84" s="53" t="n">
        <f aca="false">Assumptions!$D$24*E74</f>
        <v>84575.53125</v>
      </c>
      <c r="F84" s="53" t="n">
        <f aca="false">Assumptions!$D$24*F74</f>
        <v>84364.092421875</v>
      </c>
      <c r="G84" s="53" t="n">
        <f aca="false">Assumptions!$D$24*G74</f>
        <v>84153.1821908203</v>
      </c>
      <c r="H84" s="53" t="n">
        <f aca="false">Assumptions!$D$24*H74</f>
        <v>83942.7992353433</v>
      </c>
      <c r="I84" s="53" t="n">
        <f aca="false">Assumptions!$D$24*I74</f>
        <v>83732.9422372549</v>
      </c>
      <c r="J84" s="53" t="n">
        <f aca="false">Assumptions!$D$24*J74</f>
        <v>83523.6098816618</v>
      </c>
      <c r="K84" s="53" t="n">
        <f aca="false">Assumptions!$D$24*K74</f>
        <v>83314.8008569577</v>
      </c>
      <c r="L84" s="53" t="n">
        <f aca="false">Assumptions!$D$24*L74</f>
        <v>83106.5138548153</v>
      </c>
      <c r="M84" s="53" t="n">
        <f aca="false">Assumptions!$D$24*M74</f>
        <v>82898.7475701782</v>
      </c>
      <c r="N84" s="53" t="n">
        <f aca="false">Assumptions!$D$24*N74</f>
        <v>82691.5007012528</v>
      </c>
      <c r="O84" s="33" t="n">
        <f aca="false">SUM(C84:N84)</f>
        <v>1006091.22020016</v>
      </c>
    </row>
    <row r="85" customFormat="false" ht="15" hidden="false" customHeight="false" outlineLevel="0" collapsed="false">
      <c r="A85" s="16" t="s">
        <v>208</v>
      </c>
      <c r="B85" s="14" t="s">
        <v>198</v>
      </c>
      <c r="C85" s="53" t="n">
        <f aca="false">C83-C84</f>
        <v>97167.552</v>
      </c>
      <c r="D85" s="53" t="n">
        <f aca="false">D83-D84</f>
        <v>107704.502304</v>
      </c>
      <c r="E85" s="53" t="n">
        <f aca="false">E83-E84</f>
        <v>118460.601540651</v>
      </c>
      <c r="F85" s="53" t="n">
        <f aca="false">F83-F84</f>
        <v>129440.879638383</v>
      </c>
      <c r="G85" s="53" t="n">
        <f aca="false">G83-G84</f>
        <v>140650.480462621</v>
      </c>
      <c r="H85" s="53" t="n">
        <f aca="false">H83-H84</f>
        <v>152094.66439656</v>
      </c>
      <c r="I85" s="53" t="n">
        <f aca="false">I83-I84</f>
        <v>163778.810980341</v>
      </c>
      <c r="J85" s="53" t="n">
        <f aca="false">J83-J84</f>
        <v>175708.421609927</v>
      </c>
      <c r="K85" s="53" t="n">
        <f aca="false">K83-K84</f>
        <v>187889.122297049</v>
      </c>
      <c r="L85" s="53" t="n">
        <f aca="false">L83-L84</f>
        <v>200326.666491587</v>
      </c>
      <c r="M85" s="53" t="n">
        <f aca="false">M83-M84</f>
        <v>213026.937967806</v>
      </c>
      <c r="N85" s="53" t="n">
        <f aca="false">N83-N84</f>
        <v>225995.953775894</v>
      </c>
      <c r="O85" s="33" t="n">
        <f aca="false">SUM(C85:N85)</f>
        <v>1912244.59346482</v>
      </c>
    </row>
    <row r="86" customFormat="false" ht="15" hidden="false" customHeight="false" outlineLevel="0" collapsed="false">
      <c r="A86" s="16" t="s">
        <v>302</v>
      </c>
      <c r="B86" s="14" t="s">
        <v>198</v>
      </c>
      <c r="C86" s="53" t="n">
        <f aca="false">C77*(C72-Assumptions!$D$23*C74)</f>
        <v>625766.4</v>
      </c>
      <c r="D86" s="53" t="n">
        <f aca="false">D77*(D72-Assumptions!$D$23*D74)</f>
        <v>627504.64</v>
      </c>
      <c r="E86" s="53" t="n">
        <f aca="false">E77*(E72-Assumptions!$D$23*E74)</f>
        <v>629246.79104</v>
      </c>
      <c r="F86" s="53" t="n">
        <f aca="false">F77*(F72-Assumptions!$D$23*F74)</f>
        <v>630992.863984</v>
      </c>
      <c r="G86" s="53" t="n">
        <f aca="false">G77*(G72-Assumptions!$D$23*G74)</f>
        <v>632742.869720444</v>
      </c>
      <c r="H86" s="53" t="n">
        <f aca="false">H77*(H72-Assumptions!$D$23*H74)</f>
        <v>634496.819162288</v>
      </c>
      <c r="I86" s="53" t="n">
        <f aca="false">I77*(I72-Assumptions!$D$23*I74)</f>
        <v>636254.723247067</v>
      </c>
      <c r="J86" s="53" t="n">
        <f aca="false">J77*(J72-Assumptions!$D$23*J74)</f>
        <v>638016.592936967</v>
      </c>
      <c r="K86" s="53" t="n">
        <f aca="false">K77*(K72-Assumptions!$D$23*K74)</f>
        <v>639782.439218886</v>
      </c>
      <c r="L86" s="53" t="n">
        <f aca="false">L77*(L72-Assumptions!$D$23*L74)</f>
        <v>641552.273104512</v>
      </c>
      <c r="M86" s="53" t="n">
        <f aca="false">M77*(M72-Assumptions!$D$23*M74)</f>
        <v>643326.105630383</v>
      </c>
      <c r="N86" s="53" t="n">
        <f aca="false">N77*(N72-Assumptions!$D$23*N74)</f>
        <v>645103.94785796</v>
      </c>
      <c r="O86" s="33" t="n">
        <f aca="false">SUM(C86:N86)</f>
        <v>7624786.46590251</v>
      </c>
    </row>
    <row r="88" customFormat="false" ht="19.5" hidden="false" customHeight="true" outlineLevel="0" collapsed="false">
      <c r="A88" s="18" t="s">
        <v>304</v>
      </c>
      <c r="B88" s="19" t="s">
        <v>90</v>
      </c>
      <c r="C88" s="19" t="s">
        <v>155</v>
      </c>
      <c r="D88" s="19" t="s">
        <v>156</v>
      </c>
      <c r="E88" s="19" t="s">
        <v>157</v>
      </c>
      <c r="F88" s="19" t="s">
        <v>158</v>
      </c>
      <c r="G88" s="19" t="s">
        <v>159</v>
      </c>
      <c r="H88" s="19" t="s">
        <v>160</v>
      </c>
      <c r="I88" s="19" t="s">
        <v>161</v>
      </c>
      <c r="J88" s="19" t="s">
        <v>162</v>
      </c>
      <c r="K88" s="19" t="s">
        <v>163</v>
      </c>
      <c r="L88" s="19" t="s">
        <v>164</v>
      </c>
      <c r="M88" s="19" t="s">
        <v>165</v>
      </c>
      <c r="N88" s="19" t="s">
        <v>166</v>
      </c>
      <c r="O88" s="19" t="s">
        <v>167</v>
      </c>
      <c r="P88" s="19"/>
    </row>
    <row r="89" customFormat="false" ht="15" hidden="false" customHeight="false" outlineLevel="0" collapsed="false">
      <c r="A89" s="16" t="s">
        <v>169</v>
      </c>
      <c r="C89" s="17" t="n">
        <v>1</v>
      </c>
      <c r="D89" s="17" t="n">
        <f aca="false">C89+1</f>
        <v>2</v>
      </c>
      <c r="E89" s="17" t="n">
        <f aca="false">D89+1</f>
        <v>3</v>
      </c>
      <c r="F89" s="17" t="n">
        <f aca="false">E89+1</f>
        <v>4</v>
      </c>
      <c r="G89" s="17" t="n">
        <f aca="false">F89+1</f>
        <v>5</v>
      </c>
      <c r="H89" s="17" t="n">
        <f aca="false">G89+1</f>
        <v>6</v>
      </c>
      <c r="I89" s="17" t="n">
        <f aca="false">H89+1</f>
        <v>7</v>
      </c>
      <c r="J89" s="17" t="n">
        <f aca="false">I89+1</f>
        <v>8</v>
      </c>
      <c r="K89" s="17" t="n">
        <f aca="false">J89+1</f>
        <v>9</v>
      </c>
      <c r="L89" s="17" t="n">
        <f aca="false">K89+1</f>
        <v>10</v>
      </c>
      <c r="M89" s="17" t="n">
        <f aca="false">L89+1</f>
        <v>11</v>
      </c>
      <c r="N89" s="17" t="n">
        <f aca="false">M89+1</f>
        <v>12</v>
      </c>
    </row>
    <row r="90" customFormat="false" ht="15" hidden="false" customHeight="false" outlineLevel="0" collapsed="false">
      <c r="A90" s="16" t="s">
        <v>196</v>
      </c>
      <c r="B90" s="14" t="s">
        <v>121</v>
      </c>
      <c r="C90" s="49" t="n">
        <f aca="false">Assumptions!$E$20*(1+Assumptions!$E$27)^(C$89-1)</f>
        <v>160</v>
      </c>
      <c r="D90" s="49" t="n">
        <f aca="false">Assumptions!$E$20*(1+Assumptions!$E$27)^(D$89-1)</f>
        <v>159.2</v>
      </c>
      <c r="E90" s="49" t="n">
        <f aca="false">Assumptions!$E$20*(1+Assumptions!$E$27)^(E$89-1)</f>
        <v>158.404</v>
      </c>
      <c r="F90" s="49" t="n">
        <f aca="false">Assumptions!$E$20*(1+Assumptions!$E$27)^(F$89-1)</f>
        <v>157.61198</v>
      </c>
      <c r="G90" s="49" t="n">
        <f aca="false">Assumptions!$E$20*(1+Assumptions!$E$27)^(G$89-1)</f>
        <v>156.8239201</v>
      </c>
      <c r="H90" s="49" t="n">
        <f aca="false">Assumptions!$E$20*(1+Assumptions!$E$27)^(H$89-1)</f>
        <v>156.0398004995</v>
      </c>
      <c r="I90" s="49" t="n">
        <f aca="false">Assumptions!$E$20*(1+Assumptions!$E$27)^(I$89-1)</f>
        <v>155.259601497003</v>
      </c>
      <c r="J90" s="49" t="n">
        <f aca="false">Assumptions!$E$20*(1+Assumptions!$E$27)^(J$89-1)</f>
        <v>154.483303489517</v>
      </c>
      <c r="K90" s="49" t="n">
        <f aca="false">Assumptions!$E$20*(1+Assumptions!$E$27)^(K$89-1)</f>
        <v>153.71088697207</v>
      </c>
      <c r="L90" s="49" t="n">
        <f aca="false">Assumptions!$E$20*(1+Assumptions!$E$27)^(L$89-1)</f>
        <v>152.94233253721</v>
      </c>
      <c r="M90" s="49" t="n">
        <f aca="false">Assumptions!$E$20*(1+Assumptions!$E$27)^(M$89-1)</f>
        <v>152.177620874523</v>
      </c>
      <c r="N90" s="49" t="n">
        <f aca="false">Assumptions!$E$20*(1+Assumptions!$E$27)^(N$89-1)</f>
        <v>151.416732770151</v>
      </c>
      <c r="O90" s="38"/>
    </row>
    <row r="91" customFormat="false" ht="15" hidden="false" customHeight="false" outlineLevel="0" collapsed="false">
      <c r="A91" s="16" t="s">
        <v>183</v>
      </c>
      <c r="B91" s="14" t="s">
        <v>124</v>
      </c>
      <c r="C91" s="48" t="n">
        <f aca="false">MIN(1,MAX(0,Assumptions!$E$21*(1+Assumptions!$E$28)^(C$89-1)))</f>
        <v>0.52</v>
      </c>
      <c r="D91" s="48" t="n">
        <f aca="false">MIN(1,MAX(0,Assumptions!$E$21*(1+Assumptions!$E$28)^(D$89-1)))</f>
        <v>0.5226</v>
      </c>
      <c r="E91" s="48" t="n">
        <f aca="false">MIN(1,MAX(0,Assumptions!$E$21*(1+Assumptions!$E$28)^(E$89-1)))</f>
        <v>0.525213</v>
      </c>
      <c r="F91" s="48" t="n">
        <f aca="false">MIN(1,MAX(0,Assumptions!$E$21*(1+Assumptions!$E$28)^(F$89-1)))</f>
        <v>0.527839065</v>
      </c>
      <c r="G91" s="48" t="n">
        <f aca="false">MIN(1,MAX(0,Assumptions!$E$21*(1+Assumptions!$E$28)^(G$89-1)))</f>
        <v>0.530478260325</v>
      </c>
      <c r="H91" s="48" t="n">
        <f aca="false">MIN(1,MAX(0,Assumptions!$E$21*(1+Assumptions!$E$28)^(H$89-1)))</f>
        <v>0.533130651626625</v>
      </c>
      <c r="I91" s="48" t="n">
        <f aca="false">MIN(1,MAX(0,Assumptions!$E$21*(1+Assumptions!$E$28)^(I$89-1)))</f>
        <v>0.535796304884758</v>
      </c>
      <c r="J91" s="48" t="n">
        <f aca="false">MIN(1,MAX(0,Assumptions!$E$21*(1+Assumptions!$E$28)^(J$89-1)))</f>
        <v>0.538475286409182</v>
      </c>
      <c r="K91" s="48" t="n">
        <f aca="false">MIN(1,MAX(0,Assumptions!$E$21*(1+Assumptions!$E$28)^(K$89-1)))</f>
        <v>0.541167662841227</v>
      </c>
      <c r="L91" s="48" t="n">
        <f aca="false">MIN(1,MAX(0,Assumptions!$E$21*(1+Assumptions!$E$28)^(L$89-1)))</f>
        <v>0.543873501155433</v>
      </c>
      <c r="M91" s="48" t="n">
        <f aca="false">MIN(1,MAX(0,Assumptions!$E$21*(1+Assumptions!$E$28)^(M$89-1)))</f>
        <v>0.546592868661211</v>
      </c>
      <c r="N91" s="48" t="n">
        <f aca="false">MIN(1,MAX(0,Assumptions!$E$21*(1+Assumptions!$E$28)^(N$89-1)))</f>
        <v>0.549325833004517</v>
      </c>
      <c r="O91" s="38"/>
    </row>
    <row r="92" customFormat="false" ht="15" hidden="false" customHeight="false" outlineLevel="0" collapsed="false">
      <c r="A92" s="16" t="s">
        <v>181</v>
      </c>
      <c r="B92" s="14" t="s">
        <v>179</v>
      </c>
      <c r="C92" s="45" t="n">
        <f aca="false">(1+Assumptions!$E$29)^(C$89-1)</f>
        <v>1</v>
      </c>
      <c r="D92" s="45" t="n">
        <f aca="false">(1+Assumptions!$E$29)^(D$89-1)</f>
        <v>1.005</v>
      </c>
      <c r="E92" s="45" t="n">
        <f aca="false">(1+Assumptions!$E$29)^(E$89-1)</f>
        <v>1.010025</v>
      </c>
      <c r="F92" s="45" t="n">
        <f aca="false">(1+Assumptions!$E$29)^(F$89-1)</f>
        <v>1.015075125</v>
      </c>
      <c r="G92" s="45" t="n">
        <f aca="false">(1+Assumptions!$E$29)^(G$89-1)</f>
        <v>1.020150500625</v>
      </c>
      <c r="H92" s="45" t="n">
        <f aca="false">(1+Assumptions!$E$29)^(H$89-1)</f>
        <v>1.02525125312812</v>
      </c>
      <c r="I92" s="45" t="n">
        <f aca="false">(1+Assumptions!$E$29)^(I$89-1)</f>
        <v>1.03037750939377</v>
      </c>
      <c r="J92" s="45" t="n">
        <f aca="false">(1+Assumptions!$E$29)^(J$89-1)</f>
        <v>1.03552939694073</v>
      </c>
      <c r="K92" s="45" t="n">
        <f aca="false">(1+Assumptions!$E$29)^(K$89-1)</f>
        <v>1.04070704392544</v>
      </c>
      <c r="L92" s="45" t="n">
        <f aca="false">(1+Assumptions!$E$29)^(L$89-1)</f>
        <v>1.04591057914506</v>
      </c>
      <c r="M92" s="45" t="n">
        <f aca="false">(1+Assumptions!$E$29)^(M$89-1)</f>
        <v>1.05114013204079</v>
      </c>
      <c r="N92" s="45" t="n">
        <f aca="false">(1+Assumptions!$E$29)^(N$89-1)</f>
        <v>1.05639583270099</v>
      </c>
      <c r="O92" s="38"/>
    </row>
    <row r="93" customFormat="false" ht="15" hidden="false" customHeight="false" outlineLevel="0" collapsed="false">
      <c r="A93" s="16" t="s">
        <v>45</v>
      </c>
      <c r="B93" s="14" t="s">
        <v>191</v>
      </c>
      <c r="C93" s="50" t="n">
        <f aca="false">Assumptions!$F$16*Assumptions!$F$15</f>
        <v>896</v>
      </c>
      <c r="D93" s="50" t="n">
        <f aca="false">Assumptions!$F$16*Assumptions!$F$15</f>
        <v>896</v>
      </c>
      <c r="E93" s="50" t="n">
        <f aca="false">Assumptions!$F$16*Assumptions!$F$15</f>
        <v>896</v>
      </c>
      <c r="F93" s="50" t="n">
        <f aca="false">Assumptions!$F$16*Assumptions!$F$15</f>
        <v>896</v>
      </c>
      <c r="G93" s="50" t="n">
        <f aca="false">Assumptions!$F$16*Assumptions!$F$15</f>
        <v>896</v>
      </c>
      <c r="H93" s="50" t="n">
        <f aca="false">Assumptions!$F$16*Assumptions!$F$15</f>
        <v>896</v>
      </c>
      <c r="I93" s="50" t="n">
        <f aca="false">Assumptions!$F$16*Assumptions!$F$15</f>
        <v>896</v>
      </c>
      <c r="J93" s="50" t="n">
        <f aca="false">Assumptions!$F$16*Assumptions!$F$15</f>
        <v>896</v>
      </c>
      <c r="K93" s="50" t="n">
        <f aca="false">Assumptions!$F$16*Assumptions!$F$15</f>
        <v>896</v>
      </c>
      <c r="L93" s="50" t="n">
        <f aca="false">Assumptions!$F$16*Assumptions!$F$15</f>
        <v>896</v>
      </c>
      <c r="M93" s="50" t="n">
        <f aca="false">Assumptions!$F$16*Assumptions!$F$15</f>
        <v>896</v>
      </c>
      <c r="N93" s="50" t="n">
        <f aca="false">Assumptions!$F$16*Assumptions!$F$15</f>
        <v>896</v>
      </c>
      <c r="O93" s="42" t="n">
        <f aca="false">SUM(C93:N93)</f>
        <v>10752</v>
      </c>
    </row>
    <row r="94" customFormat="false" ht="15" hidden="false" customHeight="false" outlineLevel="0" collapsed="false">
      <c r="A94" s="16" t="s">
        <v>47</v>
      </c>
      <c r="B94" s="14" t="s">
        <v>191</v>
      </c>
      <c r="C94" s="50" t="n">
        <f aca="false">C93*Assumptions!$E$19</f>
        <v>806.4</v>
      </c>
      <c r="D94" s="50" t="n">
        <f aca="false">D93*Assumptions!$E$19</f>
        <v>806.4</v>
      </c>
      <c r="E94" s="50" t="n">
        <f aca="false">E93*Assumptions!$E$19</f>
        <v>806.4</v>
      </c>
      <c r="F94" s="50" t="n">
        <f aca="false">F93*Assumptions!$E$19</f>
        <v>806.4</v>
      </c>
      <c r="G94" s="50" t="n">
        <f aca="false">G93*Assumptions!$E$19</f>
        <v>806.4</v>
      </c>
      <c r="H94" s="50" t="n">
        <f aca="false">H93*Assumptions!$E$19</f>
        <v>806.4</v>
      </c>
      <c r="I94" s="50" t="n">
        <f aca="false">I93*Assumptions!$E$19</f>
        <v>806.4</v>
      </c>
      <c r="J94" s="50" t="n">
        <f aca="false">J93*Assumptions!$E$19</f>
        <v>806.4</v>
      </c>
      <c r="K94" s="50" t="n">
        <f aca="false">K93*Assumptions!$E$19</f>
        <v>806.4</v>
      </c>
      <c r="L94" s="50" t="n">
        <f aca="false">L93*Assumptions!$E$19</f>
        <v>806.4</v>
      </c>
      <c r="M94" s="50" t="n">
        <f aca="false">M93*Assumptions!$E$19</f>
        <v>806.4</v>
      </c>
      <c r="N94" s="50" t="n">
        <f aca="false">N93*Assumptions!$E$19</f>
        <v>806.4</v>
      </c>
      <c r="O94" s="42" t="n">
        <f aca="false">SUM(C94:N94)</f>
        <v>9676.8</v>
      </c>
    </row>
    <row r="95" customFormat="false" ht="15" hidden="false" customHeight="false" outlineLevel="0" collapsed="false">
      <c r="A95" s="16" t="s">
        <v>192</v>
      </c>
      <c r="B95" s="14" t="s">
        <v>193</v>
      </c>
      <c r="C95" s="50" t="n">
        <f aca="false">C94*Assumptions!$F$14</f>
        <v>3225.6</v>
      </c>
      <c r="D95" s="50" t="n">
        <f aca="false">D94*Assumptions!$F$14</f>
        <v>3225.6</v>
      </c>
      <c r="E95" s="50" t="n">
        <f aca="false">E94*Assumptions!$F$14</f>
        <v>3225.6</v>
      </c>
      <c r="F95" s="50" t="n">
        <f aca="false">F94*Assumptions!$F$14</f>
        <v>3225.6</v>
      </c>
      <c r="G95" s="50" t="n">
        <f aca="false">G94*Assumptions!$F$14</f>
        <v>3225.6</v>
      </c>
      <c r="H95" s="50" t="n">
        <f aca="false">H94*Assumptions!$F$14</f>
        <v>3225.6</v>
      </c>
      <c r="I95" s="50" t="n">
        <f aca="false">I94*Assumptions!$F$14</f>
        <v>3225.6</v>
      </c>
      <c r="J95" s="50" t="n">
        <f aca="false">J94*Assumptions!$F$14</f>
        <v>3225.6</v>
      </c>
      <c r="K95" s="50" t="n">
        <f aca="false">K94*Assumptions!$F$14</f>
        <v>3225.6</v>
      </c>
      <c r="L95" s="50" t="n">
        <f aca="false">L94*Assumptions!$F$14</f>
        <v>3225.6</v>
      </c>
      <c r="M95" s="50" t="n">
        <f aca="false">M94*Assumptions!$F$14</f>
        <v>3225.6</v>
      </c>
      <c r="N95" s="50" t="n">
        <f aca="false">N94*Assumptions!$F$14</f>
        <v>3225.6</v>
      </c>
      <c r="O95" s="42" t="n">
        <f aca="false">SUM(C95:N95)</f>
        <v>38707.2</v>
      </c>
    </row>
    <row r="96" customFormat="false" ht="15" hidden="false" customHeight="false" outlineLevel="0" collapsed="false">
      <c r="A96" s="16" t="s">
        <v>51</v>
      </c>
      <c r="B96" s="14" t="s">
        <v>194</v>
      </c>
      <c r="C96" s="50" t="n">
        <f aca="false">C95*C91</f>
        <v>1677.312</v>
      </c>
      <c r="D96" s="50" t="n">
        <f aca="false">D95*D91</f>
        <v>1685.69856</v>
      </c>
      <c r="E96" s="50" t="n">
        <f aca="false">E95*E91</f>
        <v>1694.1270528</v>
      </c>
      <c r="F96" s="50" t="n">
        <f aca="false">F95*F91</f>
        <v>1702.597688064</v>
      </c>
      <c r="G96" s="50" t="n">
        <f aca="false">G95*G91</f>
        <v>1711.11067650432</v>
      </c>
      <c r="H96" s="50" t="n">
        <f aca="false">H95*H91</f>
        <v>1719.66622988684</v>
      </c>
      <c r="I96" s="50" t="n">
        <f aca="false">I95*I91</f>
        <v>1728.26456103627</v>
      </c>
      <c r="J96" s="50" t="n">
        <f aca="false">J95*J91</f>
        <v>1736.90588384146</v>
      </c>
      <c r="K96" s="50" t="n">
        <f aca="false">K95*K91</f>
        <v>1745.59041326066</v>
      </c>
      <c r="L96" s="50" t="n">
        <f aca="false">L95*L91</f>
        <v>1754.31836532697</v>
      </c>
      <c r="M96" s="50" t="n">
        <f aca="false">M95*M91</f>
        <v>1763.0899571536</v>
      </c>
      <c r="N96" s="50" t="n">
        <f aca="false">N95*N91</f>
        <v>1771.90540693937</v>
      </c>
      <c r="O96" s="42" t="n">
        <f aca="false">SUM(C96:N96)</f>
        <v>20690.5867948135</v>
      </c>
    </row>
    <row r="97" customFormat="false" ht="15" hidden="false" customHeight="false" outlineLevel="0" collapsed="false">
      <c r="A97" s="16" t="s">
        <v>53</v>
      </c>
      <c r="B97" s="14" t="s">
        <v>198</v>
      </c>
      <c r="C97" s="53" t="n">
        <f aca="false">C96*C90</f>
        <v>268369.92</v>
      </c>
      <c r="D97" s="53" t="n">
        <f aca="false">D96*D90</f>
        <v>268363.210752</v>
      </c>
      <c r="E97" s="53" t="n">
        <f aca="false">E96*E90</f>
        <v>268356.501671731</v>
      </c>
      <c r="F97" s="53" t="n">
        <f aca="false">F96*F90</f>
        <v>268349.792759189</v>
      </c>
      <c r="G97" s="53" t="n">
        <f aca="false">G96*G90</f>
        <v>268343.08401437</v>
      </c>
      <c r="H97" s="53" t="n">
        <f aca="false">H96*H90</f>
        <v>268336.37543727</v>
      </c>
      <c r="I97" s="53" t="n">
        <f aca="false">I96*I90</f>
        <v>268329.667027884</v>
      </c>
      <c r="J97" s="53" t="n">
        <f aca="false">J96*J90</f>
        <v>268322.958786208</v>
      </c>
      <c r="K97" s="53" t="n">
        <f aca="false">K96*K90</f>
        <v>268316.250712239</v>
      </c>
      <c r="L97" s="53" t="n">
        <f aca="false">L96*L90</f>
        <v>268309.542805971</v>
      </c>
      <c r="M97" s="53" t="n">
        <f aca="false">M96*M90</f>
        <v>268302.835067401</v>
      </c>
      <c r="N97" s="53" t="n">
        <f aca="false">N96*N90</f>
        <v>268296.127496524</v>
      </c>
      <c r="O97" s="33" t="n">
        <f aca="false">SUM(C97:N97)</f>
        <v>3219996.26653079</v>
      </c>
    </row>
    <row r="98" customFormat="false" ht="15" hidden="false" customHeight="false" outlineLevel="0" collapsed="false">
      <c r="A98" s="16" t="s">
        <v>199</v>
      </c>
      <c r="B98" s="14" t="s">
        <v>198</v>
      </c>
      <c r="C98" s="53" t="n">
        <f aca="false">C94*Assumptions!$E$22*C92</f>
        <v>258048</v>
      </c>
      <c r="D98" s="53" t="n">
        <f aca="false">D94*Assumptions!$E$22*D92</f>
        <v>259338.24</v>
      </c>
      <c r="E98" s="53" t="n">
        <f aca="false">E94*Assumptions!$E$22*E92</f>
        <v>260634.9312</v>
      </c>
      <c r="F98" s="53" t="n">
        <f aca="false">F94*Assumptions!$E$22*F92</f>
        <v>261938.105856</v>
      </c>
      <c r="G98" s="53" t="n">
        <f aca="false">G94*Assumptions!$E$22*G92</f>
        <v>263247.79638528</v>
      </c>
      <c r="H98" s="53" t="n">
        <f aca="false">H94*Assumptions!$E$22*H92</f>
        <v>264564.035367206</v>
      </c>
      <c r="I98" s="53" t="n">
        <f aca="false">I94*Assumptions!$E$22*I92</f>
        <v>265886.855544042</v>
      </c>
      <c r="J98" s="53" t="n">
        <f aca="false">J94*Assumptions!$E$22*J92</f>
        <v>267216.289821763</v>
      </c>
      <c r="K98" s="53" t="n">
        <f aca="false">K94*Assumptions!$E$22*K92</f>
        <v>268552.371270871</v>
      </c>
      <c r="L98" s="53" t="n">
        <f aca="false">L94*Assumptions!$E$22*L92</f>
        <v>269895.133127226</v>
      </c>
      <c r="M98" s="53" t="n">
        <f aca="false">M94*Assumptions!$E$22*M92</f>
        <v>271244.608792862</v>
      </c>
      <c r="N98" s="53" t="n">
        <f aca="false">N94*Assumptions!$E$22*N92</f>
        <v>272600.831836826</v>
      </c>
      <c r="O98" s="33" t="n">
        <f aca="false">SUM(C98:N98)</f>
        <v>3183167.19920208</v>
      </c>
    </row>
    <row r="99" customFormat="false" ht="15" hidden="false" customHeight="false" outlineLevel="0" collapsed="false">
      <c r="A99" s="16" t="s">
        <v>57</v>
      </c>
      <c r="B99" s="14" t="s">
        <v>198</v>
      </c>
      <c r="C99" s="53" t="n">
        <f aca="false">C96*Assumptions!$E$23*C92</f>
        <v>25159.68</v>
      </c>
      <c r="D99" s="53" t="n">
        <f aca="false">D96*Assumptions!$E$23*D92</f>
        <v>25411.905792</v>
      </c>
      <c r="E99" s="53" t="n">
        <f aca="false">E96*Assumptions!$E$23*E92</f>
        <v>25666.6601475648</v>
      </c>
      <c r="F99" s="53" t="n">
        <f aca="false">F96*Assumptions!$E$23*F92</f>
        <v>25923.9684155441</v>
      </c>
      <c r="G99" s="53" t="n">
        <f aca="false">G96*Assumptions!$E$23*G92</f>
        <v>26183.8561989099</v>
      </c>
      <c r="H99" s="53" t="n">
        <f aca="false">H96*Assumptions!$E$23*H92</f>
        <v>26446.349357304</v>
      </c>
      <c r="I99" s="53" t="n">
        <f aca="false">I96*Assumptions!$E$23*I92</f>
        <v>26711.474009611</v>
      </c>
      <c r="J99" s="53" t="n">
        <f aca="false">J96*Assumptions!$E$23*J92</f>
        <v>26979.2565365573</v>
      </c>
      <c r="K99" s="53" t="n">
        <f aca="false">K96*Assumptions!$E$23*K92</f>
        <v>27249.7235833363</v>
      </c>
      <c r="L99" s="53" t="n">
        <f aca="false">L96*Assumptions!$E$23*L92</f>
        <v>27522.9020622592</v>
      </c>
      <c r="M99" s="53" t="n">
        <f aca="false">M96*Assumptions!$E$23*M92</f>
        <v>27798.8191554334</v>
      </c>
      <c r="N99" s="53" t="n">
        <f aca="false">N96*Assumptions!$E$23*N92</f>
        <v>28077.5023174666</v>
      </c>
      <c r="O99" s="33" t="n">
        <f aca="false">SUM(C99:N99)</f>
        <v>319132.097575987</v>
      </c>
    </row>
    <row r="100" customFormat="false" ht="15" hidden="false" customHeight="false" outlineLevel="0" collapsed="false">
      <c r="A100" s="16" t="s">
        <v>200</v>
      </c>
      <c r="B100" s="14" t="s">
        <v>198</v>
      </c>
      <c r="C100" s="53" t="n">
        <f aca="false">C98+C99</f>
        <v>283207.68</v>
      </c>
      <c r="D100" s="53" t="n">
        <f aca="false">D98+D99</f>
        <v>284750.145792</v>
      </c>
      <c r="E100" s="53" t="n">
        <f aca="false">E98+E99</f>
        <v>286301.591347565</v>
      </c>
      <c r="F100" s="53" t="n">
        <f aca="false">F98+F99</f>
        <v>287862.074271544</v>
      </c>
      <c r="G100" s="53" t="n">
        <f aca="false">G98+G99</f>
        <v>289431.65258419</v>
      </c>
      <c r="H100" s="53" t="n">
        <f aca="false">H98+H99</f>
        <v>291010.38472451</v>
      </c>
      <c r="I100" s="53" t="n">
        <f aca="false">I98+I99</f>
        <v>292598.329553653</v>
      </c>
      <c r="J100" s="53" t="n">
        <f aca="false">J98+J99</f>
        <v>294195.54635832</v>
      </c>
      <c r="K100" s="53" t="n">
        <f aca="false">K98+K99</f>
        <v>295802.094854208</v>
      </c>
      <c r="L100" s="53" t="n">
        <f aca="false">L98+L99</f>
        <v>297418.035189485</v>
      </c>
      <c r="M100" s="53" t="n">
        <f aca="false">M98+M99</f>
        <v>299043.427948295</v>
      </c>
      <c r="N100" s="53" t="n">
        <f aca="false">N98+N99</f>
        <v>300678.334154293</v>
      </c>
      <c r="O100" s="33" t="n">
        <f aca="false">SUM(C100:N100)</f>
        <v>3502299.29677806</v>
      </c>
    </row>
    <row r="101" customFormat="false" ht="15" hidden="false" customHeight="false" outlineLevel="0" collapsed="false">
      <c r="A101" s="16" t="s">
        <v>59</v>
      </c>
      <c r="B101" s="14" t="s">
        <v>198</v>
      </c>
      <c r="C101" s="53" t="n">
        <f aca="false">C97-C100</f>
        <v>-14837.76</v>
      </c>
      <c r="D101" s="53" t="n">
        <f aca="false">D97-D100</f>
        <v>-16386.93504</v>
      </c>
      <c r="E101" s="53" t="n">
        <f aca="false">E97-E100</f>
        <v>-17945.0896758335</v>
      </c>
      <c r="F101" s="53" t="n">
        <f aca="false">F97-F100</f>
        <v>-19512.2815123547</v>
      </c>
      <c r="G101" s="53" t="n">
        <f aca="false">G97-G100</f>
        <v>-21088.5685698196</v>
      </c>
      <c r="H101" s="53" t="n">
        <f aca="false">H97-H100</f>
        <v>-22674.0092872404</v>
      </c>
      <c r="I101" s="53" t="n">
        <f aca="false">I97-I100</f>
        <v>-24268.6625257693</v>
      </c>
      <c r="J101" s="53" t="n">
        <f aca="false">J97-J100</f>
        <v>-25872.5875721116</v>
      </c>
      <c r="K101" s="53" t="n">
        <f aca="false">K97-K100</f>
        <v>-27485.8441419691</v>
      </c>
      <c r="L101" s="53" t="n">
        <f aca="false">L97-L100</f>
        <v>-29108.4923835141</v>
      </c>
      <c r="M101" s="53" t="n">
        <f aca="false">M97-M100</f>
        <v>-30740.5928808945</v>
      </c>
      <c r="N101" s="53" t="n">
        <f aca="false">N97-N100</f>
        <v>-32382.2066577687</v>
      </c>
      <c r="O101" s="33" t="n">
        <f aca="false">SUM(C101:N101)</f>
        <v>-282303.030247276</v>
      </c>
    </row>
    <row r="102" customFormat="false" ht="15" hidden="false" customHeight="false" outlineLevel="0" collapsed="false">
      <c r="A102" s="16" t="s">
        <v>207</v>
      </c>
      <c r="B102" s="14" t="s">
        <v>198</v>
      </c>
      <c r="C102" s="53" t="n">
        <f aca="false">Assumptions!$E$24*C92</f>
        <v>100000</v>
      </c>
      <c r="D102" s="53" t="n">
        <f aca="false">Assumptions!$E$24*D92</f>
        <v>100500</v>
      </c>
      <c r="E102" s="53" t="n">
        <f aca="false">Assumptions!$E$24*E92</f>
        <v>101002.5</v>
      </c>
      <c r="F102" s="53" t="n">
        <f aca="false">Assumptions!$E$24*F92</f>
        <v>101507.5125</v>
      </c>
      <c r="G102" s="53" t="n">
        <f aca="false">Assumptions!$E$24*G92</f>
        <v>102015.0500625</v>
      </c>
      <c r="H102" s="53" t="n">
        <f aca="false">Assumptions!$E$24*H92</f>
        <v>102525.125312812</v>
      </c>
      <c r="I102" s="53" t="n">
        <f aca="false">Assumptions!$E$24*I92</f>
        <v>103037.750939377</v>
      </c>
      <c r="J102" s="53" t="n">
        <f aca="false">Assumptions!$E$24*J92</f>
        <v>103552.939694073</v>
      </c>
      <c r="K102" s="53" t="n">
        <f aca="false">Assumptions!$E$24*K92</f>
        <v>104070.704392544</v>
      </c>
      <c r="L102" s="53" t="n">
        <f aca="false">Assumptions!$E$24*L92</f>
        <v>104591.057914506</v>
      </c>
      <c r="M102" s="53" t="n">
        <f aca="false">Assumptions!$E$24*M92</f>
        <v>105114.013204079</v>
      </c>
      <c r="N102" s="53" t="n">
        <f aca="false">Assumptions!$E$24*N92</f>
        <v>105639.583270099</v>
      </c>
      <c r="O102" s="33" t="n">
        <f aca="false">SUM(C102:N102)</f>
        <v>1233556.23728999</v>
      </c>
    </row>
    <row r="103" customFormat="false" ht="15" hidden="false" customHeight="false" outlineLevel="0" collapsed="false">
      <c r="A103" s="16" t="s">
        <v>208</v>
      </c>
      <c r="B103" s="14" t="s">
        <v>198</v>
      </c>
      <c r="C103" s="53" t="n">
        <f aca="false">C101-C102</f>
        <v>-114837.76</v>
      </c>
      <c r="D103" s="53" t="n">
        <f aca="false">D101-D102</f>
        <v>-116886.93504</v>
      </c>
      <c r="E103" s="53" t="n">
        <f aca="false">E101-E102</f>
        <v>-118947.589675834</v>
      </c>
      <c r="F103" s="53" t="n">
        <f aca="false">F101-F102</f>
        <v>-121019.794012355</v>
      </c>
      <c r="G103" s="53" t="n">
        <f aca="false">G101-G102</f>
        <v>-123103.61863232</v>
      </c>
      <c r="H103" s="53" t="n">
        <f aca="false">H101-H102</f>
        <v>-125199.134600053</v>
      </c>
      <c r="I103" s="53" t="n">
        <f aca="false">I101-I102</f>
        <v>-127306.413465146</v>
      </c>
      <c r="J103" s="53" t="n">
        <f aca="false">J101-J102</f>
        <v>-129425.527266185</v>
      </c>
      <c r="K103" s="53" t="n">
        <f aca="false">K101-K102</f>
        <v>-131556.548534513</v>
      </c>
      <c r="L103" s="53" t="n">
        <f aca="false">L101-L102</f>
        <v>-133699.550298021</v>
      </c>
      <c r="M103" s="53" t="n">
        <f aca="false">M101-M102</f>
        <v>-135854.606084974</v>
      </c>
      <c r="N103" s="53" t="n">
        <f aca="false">N101-N102</f>
        <v>-138021.789927868</v>
      </c>
      <c r="O103" s="33" t="n">
        <f aca="false">SUM(C103:N103)</f>
        <v>-1515859.26753727</v>
      </c>
    </row>
    <row r="104" customFormat="false" ht="15" hidden="false" customHeight="false" outlineLevel="0" collapsed="false">
      <c r="A104" s="16" t="s">
        <v>302</v>
      </c>
      <c r="B104" s="14" t="s">
        <v>198</v>
      </c>
      <c r="C104" s="53" t="n">
        <f aca="false">C95*(C90-Assumptions!$E$23*C92)</f>
        <v>467712</v>
      </c>
      <c r="D104" s="53" t="n">
        <f aca="false">D95*(D90-Assumptions!$E$23*D92)</f>
        <v>464889.6</v>
      </c>
      <c r="E104" s="53" t="n">
        <f aca="false">E95*(E90-Assumptions!$E$23*E92)</f>
        <v>462078.8928</v>
      </c>
      <c r="F104" s="53" t="n">
        <f aca="false">F95*(F90-Assumptions!$E$23*F92)</f>
        <v>459279.80784</v>
      </c>
      <c r="G104" s="53" t="n">
        <f aca="false">G95*(G90-Assumptions!$E$23*G92)</f>
        <v>456492.27485232</v>
      </c>
      <c r="H104" s="53" t="n">
        <f aca="false">H95*(H90-Assumptions!$E$23*H92)</f>
        <v>453716.223859836</v>
      </c>
      <c r="I104" s="53" t="n">
        <f aca="false">I95*(I90-Assumptions!$E$23*I92)</f>
        <v>450951.585174223</v>
      </c>
      <c r="J104" s="53" t="n">
        <f aca="false">J95*(J90-Assumptions!$E$23*J92)</f>
        <v>448198.289394207</v>
      </c>
      <c r="K104" s="53" t="n">
        <f aca="false">K95*(K90-Assumptions!$E$23*K92)</f>
        <v>445456.26740382</v>
      </c>
      <c r="L104" s="53" t="n">
        <f aca="false">L95*(L90-Assumptions!$E$23*L92)</f>
        <v>442725.450370668</v>
      </c>
      <c r="M104" s="53" t="n">
        <f aca="false">M95*(M90-Assumptions!$E$23*M92)</f>
        <v>440005.769744201</v>
      </c>
      <c r="N104" s="53" t="n">
        <f aca="false">N95*(N90-Assumptions!$E$23*N92)</f>
        <v>437297.157253994</v>
      </c>
      <c r="O104" s="33" t="n">
        <f aca="false">SUM(C104:N104)</f>
        <v>5428803.31869327</v>
      </c>
    </row>
  </sheetData>
  <mergeCells count="4">
    <mergeCell ref="B36:P36"/>
    <mergeCell ref="B37:P37"/>
    <mergeCell ref="B38:P38"/>
    <mergeCell ref="A40:P40"/>
  </mergeCells>
  <conditionalFormatting sqref="C67:O67">
    <cfRule type="cellIs" priority="2" operator="lessThan" aboveAverage="0" equalAverage="0" bottom="0" percent="0" rank="0" text="" dxfId="2">
      <formula>0</formula>
    </cfRule>
  </conditionalFormatting>
  <conditionalFormatting sqref="C85:O85">
    <cfRule type="cellIs" priority="3" operator="lessThan" aboveAverage="0" equalAverage="0" bottom="0" percent="0" rank="0" text="" dxfId="2">
      <formula>0</formula>
    </cfRule>
  </conditionalFormatting>
  <conditionalFormatting sqref="C103:O103">
    <cfRule type="cellIs" priority="4" operator="lessThan" aboveAverage="0" equalAverage="0" bottom="0" percent="0" rank="0" text="" dxfId="2">
      <formula>0</formula>
    </cfRule>
  </conditionalFormatting>
  <conditionalFormatting sqref="C29:G29">
    <cfRule type="cellIs" priority="5" operator="lessThan" aboveAverage="0" equalAverage="0" bottom="0" percent="0" rank="0" text="" dxfId="2">
      <formula>0</formula>
    </cfRule>
  </conditionalFormatting>
  <conditionalFormatting sqref="C25:G27">
    <cfRule type="cellIs" priority="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2026-10-11T22:08:49Z</dcterms:created>
  <dc:creator>openpyxl</dc:creator>
  <dc:description/>
  <dc:language>en-US</dc:language>
  <cp:lastModifiedBy/>
  <dcterms:modified xsi:type="dcterms:W3CDTF">2026-10-11T22:08:50Z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